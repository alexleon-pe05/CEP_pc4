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8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  <color rgb="00000000"/>
    </font>
    <font>
      <b val="1"/>
      <color rgb="001F4E79"/>
    </font>
    <font>
      <i val="1"/>
      <color rgb="00C00000"/>
      <sz val="9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Carta np — Nº de registros con discrepancia por sucursal</a:t>
            </a:r>
          </a:p>
        </rich>
      </tx>
    </title>
    <plotArea>
      <lineChart>
        <grouping val="standard"/>
        <ser>
          <idx val="0"/>
          <order val="0"/>
          <tx>
            <strRef>
              <f>'Carta np'!B3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'Carta np'!$A$4:$A$18</f>
            </numRef>
          </cat>
          <val>
            <numRef>
              <f>'Carta np'!$B$4:$B$18</f>
            </numRef>
          </val>
          <smooth val="0"/>
        </ser>
        <ser>
          <idx val="1"/>
          <order val="1"/>
          <tx>
            <strRef>
              <f>'Carta np'!C3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np'!$A$4:$A$18</f>
            </numRef>
          </cat>
          <val>
            <numRef>
              <f>'Carta np'!$C$4:$C$18</f>
            </numRef>
          </val>
          <smooth val="0"/>
        </ser>
        <ser>
          <idx val="2"/>
          <order val="2"/>
          <tx>
            <strRef>
              <f>'Carta np'!D3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np'!$A$4:$A$18</f>
            </numRef>
          </cat>
          <val>
            <numRef>
              <f>'Carta np'!$D$4:$D$18</f>
            </numRef>
          </val>
          <smooth val="0"/>
        </ser>
        <ser>
          <idx val="3"/>
          <order val="3"/>
          <tx>
            <strRef>
              <f>'Carta np'!E3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np'!$A$4:$A$18</f>
            </numRef>
          </cat>
          <val>
            <numRef>
              <f>'Carta np'!$E$4:$E$18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Sucursal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Nº defectuosas (np)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0" customWidth="1" min="4" max="4"/>
    <col width="10" customWidth="1" min="5" max="5"/>
  </cols>
  <sheetData>
    <row r="1">
      <c r="A1" s="1" t="inlineStr">
        <is>
          <t>PROBLEMA 4 — Carta np (correcta)  ·  Registros contables con discrepancias por sucursal (n = 100)</t>
        </is>
      </c>
    </row>
    <row r="3">
      <c r="A3" s="2" t="inlineStr">
        <is>
          <t>Sucursal</t>
        </is>
      </c>
      <c r="B3" s="2" t="inlineStr">
        <is>
          <t>Discrepancias (np)</t>
        </is>
      </c>
      <c r="C3" s="2" t="inlineStr">
        <is>
          <t>LCI</t>
        </is>
      </c>
      <c r="D3" s="2" t="inlineStr">
        <is>
          <t>LC</t>
        </is>
      </c>
      <c r="E3" s="2" t="inlineStr">
        <is>
          <t>LCS</t>
        </is>
      </c>
    </row>
    <row r="4">
      <c r="A4" s="3" t="n">
        <v>1</v>
      </c>
      <c r="B4" s="3" t="n">
        <v>4</v>
      </c>
      <c r="C4" s="4">
        <f>$B$22-3*SQRT($B$22*(1-$B$24))</f>
        <v/>
      </c>
      <c r="D4" s="4">
        <f>$B$22</f>
        <v/>
      </c>
      <c r="E4" s="4">
        <f>$B$22+3*SQRT($B$22*(1-$B$24))</f>
        <v/>
      </c>
    </row>
    <row r="5">
      <c r="A5" s="3" t="n">
        <v>2</v>
      </c>
      <c r="B5" s="3" t="n">
        <v>6</v>
      </c>
      <c r="C5" s="4">
        <f>$B$22-3*SQRT($B$22*(1-$B$24))</f>
        <v/>
      </c>
      <c r="D5" s="4">
        <f>$B$22</f>
        <v/>
      </c>
      <c r="E5" s="4">
        <f>$B$22+3*SQRT($B$22*(1-$B$24))</f>
        <v/>
      </c>
    </row>
    <row r="6">
      <c r="A6" s="3" t="n">
        <v>3</v>
      </c>
      <c r="B6" s="3" t="n">
        <v>3</v>
      </c>
      <c r="C6" s="4">
        <f>$B$22-3*SQRT($B$22*(1-$B$24))</f>
        <v/>
      </c>
      <c r="D6" s="4">
        <f>$B$22</f>
        <v/>
      </c>
      <c r="E6" s="4">
        <f>$B$22+3*SQRT($B$22*(1-$B$24))</f>
        <v/>
      </c>
    </row>
    <row r="7">
      <c r="A7" s="3" t="n">
        <v>4</v>
      </c>
      <c r="B7" s="3" t="n">
        <v>8</v>
      </c>
      <c r="C7" s="4">
        <f>$B$22-3*SQRT($B$22*(1-$B$24))</f>
        <v/>
      </c>
      <c r="D7" s="4">
        <f>$B$22</f>
        <v/>
      </c>
      <c r="E7" s="4">
        <f>$B$22+3*SQRT($B$22*(1-$B$24))</f>
        <v/>
      </c>
    </row>
    <row r="8">
      <c r="A8" s="3" t="n">
        <v>5</v>
      </c>
      <c r="B8" s="3" t="n">
        <v>5</v>
      </c>
      <c r="C8" s="4">
        <f>$B$22-3*SQRT($B$22*(1-$B$24))</f>
        <v/>
      </c>
      <c r="D8" s="4">
        <f>$B$22</f>
        <v/>
      </c>
      <c r="E8" s="4">
        <f>$B$22+3*SQRT($B$22*(1-$B$24))</f>
        <v/>
      </c>
    </row>
    <row r="9">
      <c r="A9" s="3" t="n">
        <v>6</v>
      </c>
      <c r="B9" s="3" t="n">
        <v>7</v>
      </c>
      <c r="C9" s="4">
        <f>$B$22-3*SQRT($B$22*(1-$B$24))</f>
        <v/>
      </c>
      <c r="D9" s="4">
        <f>$B$22</f>
        <v/>
      </c>
      <c r="E9" s="4">
        <f>$B$22+3*SQRT($B$22*(1-$B$24))</f>
        <v/>
      </c>
    </row>
    <row r="10">
      <c r="A10" s="3" t="n">
        <v>7</v>
      </c>
      <c r="B10" s="3" t="n">
        <v>4</v>
      </c>
      <c r="C10" s="4">
        <f>$B$22-3*SQRT($B$22*(1-$B$24))</f>
        <v/>
      </c>
      <c r="D10" s="4">
        <f>$B$22</f>
        <v/>
      </c>
      <c r="E10" s="4">
        <f>$B$22+3*SQRT($B$22*(1-$B$24))</f>
        <v/>
      </c>
    </row>
    <row r="11">
      <c r="A11" s="3" t="n">
        <v>8</v>
      </c>
      <c r="B11" s="3" t="n">
        <v>9</v>
      </c>
      <c r="C11" s="4">
        <f>$B$22-3*SQRT($B$22*(1-$B$24))</f>
        <v/>
      </c>
      <c r="D11" s="4">
        <f>$B$22</f>
        <v/>
      </c>
      <c r="E11" s="4">
        <f>$B$22+3*SQRT($B$22*(1-$B$24))</f>
        <v/>
      </c>
    </row>
    <row r="12">
      <c r="A12" s="3" t="n">
        <v>9</v>
      </c>
      <c r="B12" s="3" t="n">
        <v>5</v>
      </c>
      <c r="C12" s="4">
        <f>$B$22-3*SQRT($B$22*(1-$B$24))</f>
        <v/>
      </c>
      <c r="D12" s="4">
        <f>$B$22</f>
        <v/>
      </c>
      <c r="E12" s="4">
        <f>$B$22+3*SQRT($B$22*(1-$B$24))</f>
        <v/>
      </c>
    </row>
    <row r="13">
      <c r="A13" s="3" t="n">
        <v>10</v>
      </c>
      <c r="B13" s="3" t="n">
        <v>6</v>
      </c>
      <c r="C13" s="4">
        <f>$B$22-3*SQRT($B$22*(1-$B$24))</f>
        <v/>
      </c>
      <c r="D13" s="4">
        <f>$B$22</f>
        <v/>
      </c>
      <c r="E13" s="4">
        <f>$B$22+3*SQRT($B$22*(1-$B$24))</f>
        <v/>
      </c>
    </row>
    <row r="14">
      <c r="A14" s="3" t="n">
        <v>11</v>
      </c>
      <c r="B14" s="3" t="n">
        <v>3</v>
      </c>
      <c r="C14" s="4">
        <f>$B$22-3*SQRT($B$22*(1-$B$24))</f>
        <v/>
      </c>
      <c r="D14" s="4">
        <f>$B$22</f>
        <v/>
      </c>
      <c r="E14" s="4">
        <f>$B$22+3*SQRT($B$22*(1-$B$24))</f>
        <v/>
      </c>
    </row>
    <row r="15">
      <c r="A15" s="3" t="n">
        <v>12</v>
      </c>
      <c r="B15" s="3" t="n">
        <v>7</v>
      </c>
      <c r="C15" s="4">
        <f>$B$22-3*SQRT($B$22*(1-$B$24))</f>
        <v/>
      </c>
      <c r="D15" s="4">
        <f>$B$22</f>
        <v/>
      </c>
      <c r="E15" s="4">
        <f>$B$22+3*SQRT($B$22*(1-$B$24))</f>
        <v/>
      </c>
    </row>
    <row r="16">
      <c r="A16" s="3" t="n">
        <v>13</v>
      </c>
      <c r="B16" s="3" t="n">
        <v>5</v>
      </c>
      <c r="C16" s="4">
        <f>$B$22-3*SQRT($B$22*(1-$B$24))</f>
        <v/>
      </c>
      <c r="D16" s="4">
        <f>$B$22</f>
        <v/>
      </c>
      <c r="E16" s="4">
        <f>$B$22+3*SQRT($B$22*(1-$B$24))</f>
        <v/>
      </c>
    </row>
    <row r="17">
      <c r="A17" s="3" t="n">
        <v>14</v>
      </c>
      <c r="B17" s="3" t="n">
        <v>8</v>
      </c>
      <c r="C17" s="4">
        <f>$B$22-3*SQRT($B$22*(1-$B$24))</f>
        <v/>
      </c>
      <c r="D17" s="4">
        <f>$B$22</f>
        <v/>
      </c>
      <c r="E17" s="4">
        <f>$B$22+3*SQRT($B$22*(1-$B$24))</f>
        <v/>
      </c>
    </row>
    <row r="18">
      <c r="A18" s="3" t="n">
        <v>15</v>
      </c>
      <c r="B18" s="3" t="n">
        <v>6</v>
      </c>
      <c r="C18" s="4">
        <f>$B$22-3*SQRT($B$22*(1-$B$24))</f>
        <v/>
      </c>
      <c r="D18" s="4">
        <f>$B$22</f>
        <v/>
      </c>
      <c r="E18" s="4">
        <f>$B$22+3*SQRT($B$22*(1-$B$24))</f>
        <v/>
      </c>
    </row>
    <row r="20">
      <c r="A20" s="5" t="inlineStr">
        <is>
          <t>Σ defectuosas =</t>
        </is>
      </c>
      <c r="B20" s="6">
        <f>SUM(B4:B18)</f>
        <v/>
      </c>
    </row>
    <row r="21">
      <c r="A21" s="5" t="inlineStr">
        <is>
          <t>nº de muestras (m) =</t>
        </is>
      </c>
      <c r="B21" s="6" t="n">
        <v>15</v>
      </c>
    </row>
    <row r="22">
      <c r="A22" s="7" t="inlineStr">
        <is>
          <t>np̄ = Σ / m =</t>
        </is>
      </c>
      <c r="B22" s="8">
        <f>B20/B21</f>
        <v/>
      </c>
    </row>
    <row r="23">
      <c r="A23" s="5" t="inlineStr">
        <is>
          <t>n (constante) =</t>
        </is>
      </c>
      <c r="B23" s="6" t="n">
        <v>100</v>
      </c>
    </row>
    <row r="24">
      <c r="A24" s="7" t="inlineStr">
        <is>
          <t>p̄ = np̄ / n =</t>
        </is>
      </c>
      <c r="B24" s="9">
        <f>B22/B23</f>
        <v/>
      </c>
    </row>
    <row r="25">
      <c r="A25" s="10" t="inlineStr">
        <is>
          <t>Fórmula np: LCS/LCI = np̄ ± 3·√(np̄·(1−p̄))   ·   LCI = −1.24 → en la práctica 0</t>
        </is>
      </c>
    </row>
    <row r="28">
      <c r="A28" s="7" t="inlineStr">
        <is>
          <t>COMPARACIÓN CONCEPTUAL: ¿por qué np y no c?</t>
        </is>
      </c>
    </row>
    <row r="29">
      <c r="A29" s="11" t="inlineStr">
        <is>
          <t>Aspecto</t>
        </is>
      </c>
      <c r="B29" s="2" t="inlineStr">
        <is>
          <t>Carta c</t>
        </is>
      </c>
      <c r="C29" s="2" t="inlineStr">
        <is>
          <t>Carta np</t>
        </is>
      </c>
    </row>
    <row r="30">
      <c r="A30" s="12" t="inlineStr">
        <is>
          <t>Qué cuenta</t>
        </is>
      </c>
      <c r="B30" s="3" t="inlineStr">
        <is>
          <t>Defectos (eventos)</t>
        </is>
      </c>
      <c r="C30" s="3" t="inlineStr">
        <is>
          <t>Unidades defectuosas</t>
        </is>
      </c>
    </row>
    <row r="31">
      <c r="A31" s="12" t="inlineStr">
        <is>
          <t>Denominador</t>
        </is>
      </c>
      <c r="B31" s="3" t="inlineStr">
        <is>
          <t>No hay (área de oportunidad)</t>
        </is>
      </c>
      <c r="C31" s="3" t="inlineStr">
        <is>
          <t>n fijo (= 100)</t>
        </is>
      </c>
    </row>
    <row r="32">
      <c r="A32" s="12" t="inlineStr">
        <is>
          <t>Rango del conteo</t>
        </is>
      </c>
      <c r="B32" s="3" t="inlineStr">
        <is>
          <t>0, 1, 2… sin tope</t>
        </is>
      </c>
      <c r="C32" s="3" t="inlineStr">
        <is>
          <t>0 hasta n (= 100)</t>
        </is>
      </c>
    </row>
    <row r="33">
      <c r="A33" s="12" t="inlineStr">
        <is>
          <t>Distribución</t>
        </is>
      </c>
      <c r="B33" s="3" t="inlineStr">
        <is>
          <t>Poisson</t>
        </is>
      </c>
      <c r="C33" s="3" t="inlineStr">
        <is>
          <t>Binomial</t>
        </is>
      </c>
    </row>
    <row r="34">
      <c r="A34" s="12" t="inlineStr">
        <is>
          <t>Límites</t>
        </is>
      </c>
      <c r="B34" s="3" t="inlineStr">
        <is>
          <t>c̄ ± 3·√c̄</t>
        </is>
      </c>
      <c r="C34" s="3" t="inlineStr">
        <is>
          <t>np̄ ± 3·√(np̄(1−p̄))</t>
        </is>
      </c>
    </row>
    <row r="35">
      <c r="A35" s="12" t="inlineStr">
        <is>
          <t>¿Aplica aquí?</t>
        </is>
      </c>
      <c r="B35" s="3" t="inlineStr">
        <is>
          <t>NO</t>
        </is>
      </c>
      <c r="C35" s="3" t="inlineStr">
        <is>
          <t>SÍ</t>
        </is>
      </c>
    </row>
    <row r="38">
      <c r="A38" s="7" t="inlineStr">
        <is>
          <t>TABLA PARA MINITAB</t>
        </is>
      </c>
    </row>
    <row r="39">
      <c r="A39" s="13" t="inlineStr">
        <is>
          <t>Ruta: Estadísticas &gt; Gráficas de control &gt; Gráficas de atributos &gt; NP  (tamaño de subgrupo n = 100)</t>
        </is>
      </c>
    </row>
    <row r="40">
      <c r="A40" s="14" t="inlineStr">
        <is>
          <t>Discrepancias</t>
        </is>
      </c>
      <c r="B40" s="14" t="inlineStr">
        <is>
          <t>n</t>
        </is>
      </c>
    </row>
    <row r="41">
      <c r="A41" s="3" t="n">
        <v>4</v>
      </c>
      <c r="B41" s="3" t="n">
        <v>100</v>
      </c>
    </row>
    <row r="42">
      <c r="A42" s="3" t="n">
        <v>6</v>
      </c>
      <c r="B42" s="3" t="n">
        <v>100</v>
      </c>
    </row>
    <row r="43">
      <c r="A43" s="3" t="n">
        <v>3</v>
      </c>
      <c r="B43" s="3" t="n">
        <v>100</v>
      </c>
    </row>
    <row r="44">
      <c r="A44" s="3" t="n">
        <v>8</v>
      </c>
      <c r="B44" s="3" t="n">
        <v>100</v>
      </c>
    </row>
    <row r="45">
      <c r="A45" s="3" t="n">
        <v>5</v>
      </c>
      <c r="B45" s="3" t="n">
        <v>100</v>
      </c>
    </row>
    <row r="46">
      <c r="A46" s="3" t="n">
        <v>7</v>
      </c>
      <c r="B46" s="3" t="n">
        <v>100</v>
      </c>
    </row>
    <row r="47">
      <c r="A47" s="3" t="n">
        <v>4</v>
      </c>
      <c r="B47" s="3" t="n">
        <v>100</v>
      </c>
    </row>
    <row r="48">
      <c r="A48" s="3" t="n">
        <v>9</v>
      </c>
      <c r="B48" s="3" t="n">
        <v>100</v>
      </c>
    </row>
    <row r="49">
      <c r="A49" s="3" t="n">
        <v>5</v>
      </c>
      <c r="B49" s="3" t="n">
        <v>100</v>
      </c>
    </row>
    <row r="50">
      <c r="A50" s="3" t="n">
        <v>6</v>
      </c>
      <c r="B50" s="3" t="n">
        <v>100</v>
      </c>
    </row>
    <row r="51">
      <c r="A51" s="3" t="n">
        <v>3</v>
      </c>
      <c r="B51" s="3" t="n">
        <v>100</v>
      </c>
    </row>
    <row r="52">
      <c r="A52" s="3" t="n">
        <v>7</v>
      </c>
      <c r="B52" s="3" t="n">
        <v>100</v>
      </c>
    </row>
    <row r="53">
      <c r="A53" s="3" t="n">
        <v>5</v>
      </c>
      <c r="B53" s="3" t="n">
        <v>100</v>
      </c>
    </row>
    <row r="54">
      <c r="A54" s="3" t="n">
        <v>8</v>
      </c>
      <c r="B54" s="3" t="n">
        <v>100</v>
      </c>
    </row>
    <row r="55">
      <c r="A55" s="3" t="n">
        <v>6</v>
      </c>
      <c r="B55" s="3" t="n">
        <v>100</v>
      </c>
    </row>
  </sheetData>
  <mergeCells count="5">
    <mergeCell ref="A39:E39"/>
    <mergeCell ref="A38:E38"/>
    <mergeCell ref="A28:E28"/>
    <mergeCell ref="A25:E25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2026-07-04T13:59:02Z</dcterms:created>
  <dcterms:modified xmlns:dcterms="http://purl.org/dc/terms/" xmlns:xsi="http://www.w3.org/2001/XMLSchema-instance" xsi:type="dcterms:W3CDTF">2026-07-04T13:59:02Z</dcterms:modified>
</cp:coreProperties>
</file>