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dad C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1F4E79"/>
    </font>
    <font>
      <b val="1"/>
    </font>
    <font>
      <b val="1"/>
      <color rgb="00FFFFFF"/>
    </font>
    <font>
      <b val="1"/>
      <color rgb="00C0000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Gráfica de capacidad — Tiempo de aprobación (h)</a:t>
            </a:r>
          </a:p>
        </rich>
      </tx>
    </title>
    <plotArea>
      <scatterChart>
        <ser>
          <idx val="0"/>
          <order val="0"/>
          <tx>
            <v>Curva normal</v>
          </tx>
          <spPr>
            <a:ln xmlns:a="http://schemas.openxmlformats.org/drawingml/2006/main" w="24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'Capacidad Cpm'!$H$4:$H$52</f>
            </numRef>
          </xVal>
          <yVal>
            <numRef>
              <f>'Capacidad Cpm'!$I$4:$I$52</f>
            </numRef>
          </yVal>
          <smooth val="1"/>
        </ser>
        <ser>
          <idx val="1"/>
          <order val="1"/>
          <tx>
            <v>LSL=12</v>
          </tx>
          <spPr>
            <a:ln xmlns:a="http://schemas.openxmlformats.org/drawingml/2006/main" w="260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'Capacidad Cpm'!$K$4:$K$5</f>
            </numRef>
          </xVal>
          <yVal>
            <numRef>
              <f>'Capacidad Cpm'!$L$4:$L$5</f>
            </numRef>
          </yVal>
        </ser>
        <ser>
          <idx val="2"/>
          <order val="2"/>
          <tx>
            <v>Target=24</v>
          </tx>
          <spPr>
            <a:ln xmlns:a="http://schemas.openxmlformats.org/drawingml/2006/main" w="26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'Capacidad Cpm'!$K$7:$K$8</f>
            </numRef>
          </xVal>
          <yVal>
            <numRef>
              <f>'Capacidad Cpm'!$L$7:$L$8</f>
            </numRef>
          </yVal>
        </ser>
        <ser>
          <idx val="3"/>
          <order val="3"/>
          <tx>
            <v>USL=48</v>
          </tx>
          <spPr>
            <a:ln xmlns:a="http://schemas.openxmlformats.org/drawingml/2006/main" w="260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'Capacidad Cpm'!$K$10:$K$11</f>
            </numRef>
          </xVal>
          <yVal>
            <numRef>
              <f>'Capacidad Cpm'!$L$10:$L$11</f>
            </numRef>
          </yVal>
        </ser>
        <axId val="10"/>
        <axId val="20"/>
      </scatterChart>
      <valAx>
        <axId val="10"/>
        <scaling>
          <orientation val="minMax"/>
          <max val="54"/>
          <min val="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de aprobación (h)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Densidad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68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1" customWidth="1" min="4" max="4"/>
    <col width="22" customWidth="1" min="5" max="5"/>
  </cols>
  <sheetData>
    <row r="1">
      <c r="A1" s="1" t="inlineStr">
        <is>
          <t>PROBLEMA 3 — Análisis de capacidad + índice de Taguchi (Cpm)  ·  Tiempo de aprobación de préstamos (h)</t>
        </is>
      </c>
      <c r="N1">
        <f>1/($B$5*SQRT(2*PI()))*1.08</f>
        <v/>
      </c>
    </row>
    <row r="3">
      <c r="A3" s="2" t="inlineStr">
        <is>
          <t>PARÁMETROS DEL PROCESO (análisis de capacidad, n = 150)</t>
        </is>
      </c>
      <c r="H3" s="3" t="inlineStr">
        <is>
          <t>x</t>
        </is>
      </c>
      <c r="I3" s="3" t="inlineStr">
        <is>
          <t>f(x)</t>
        </is>
      </c>
    </row>
    <row r="4">
      <c r="A4" s="3" t="inlineStr">
        <is>
          <t>Media (X̄) = μ</t>
        </is>
      </c>
      <c r="B4" s="4" t="n">
        <v>26.5</v>
      </c>
      <c r="H4" t="n">
        <v>6</v>
      </c>
      <c r="I4">
        <f>NORMDIST(H4,$B$4,$B$5,FALSE)</f>
        <v/>
      </c>
      <c r="K4" t="n">
        <v>12</v>
      </c>
      <c r="L4" t="n">
        <v>0</v>
      </c>
    </row>
    <row r="5">
      <c r="A5" s="3" t="inlineStr">
        <is>
          <t>Desv. estándar (s) = σ</t>
        </is>
      </c>
      <c r="B5" s="4" t="n">
        <v>6.2</v>
      </c>
      <c r="H5" t="n">
        <v>7</v>
      </c>
      <c r="I5">
        <f>NORMDIST(H5,$B$4,$B$5,FALSE)</f>
        <v/>
      </c>
      <c r="K5" t="n">
        <v>12</v>
      </c>
      <c r="L5">
        <f>$N$1</f>
        <v/>
      </c>
    </row>
    <row r="6">
      <c r="A6" s="3" t="inlineStr">
        <is>
          <t>n</t>
        </is>
      </c>
      <c r="B6" s="4" t="n">
        <v>150</v>
      </c>
      <c r="H6" t="n">
        <v>8</v>
      </c>
      <c r="I6">
        <f>NORMDIST(H6,$B$4,$B$5,FALSE)</f>
        <v/>
      </c>
    </row>
    <row r="7">
      <c r="A7" s="3" t="inlineStr">
        <is>
          <t>Target (N) = T</t>
        </is>
      </c>
      <c r="B7" s="4" t="n">
        <v>24</v>
      </c>
      <c r="H7" t="n">
        <v>9</v>
      </c>
      <c r="I7">
        <f>NORMDIST(H7,$B$4,$B$5,FALSE)</f>
        <v/>
      </c>
      <c r="K7" t="n">
        <v>24</v>
      </c>
      <c r="L7" t="n">
        <v>0</v>
      </c>
    </row>
    <row r="8">
      <c r="A8" s="3" t="inlineStr">
        <is>
          <t>LSL (EI)</t>
        </is>
      </c>
      <c r="B8" s="4" t="n">
        <v>12</v>
      </c>
      <c r="H8" t="n">
        <v>10</v>
      </c>
      <c r="I8">
        <f>NORMDIST(H8,$B$4,$B$5,FALSE)</f>
        <v/>
      </c>
      <c r="K8" t="n">
        <v>24</v>
      </c>
      <c r="L8">
        <f>$N$1</f>
        <v/>
      </c>
    </row>
    <row r="9">
      <c r="A9" s="3" t="inlineStr">
        <is>
          <t>USL (ES)</t>
        </is>
      </c>
      <c r="B9" s="4" t="n">
        <v>48</v>
      </c>
      <c r="H9" t="n">
        <v>11</v>
      </c>
      <c r="I9">
        <f>NORMDIST(H9,$B$4,$B$5,FALSE)</f>
        <v/>
      </c>
    </row>
    <row r="10">
      <c r="H10" t="n">
        <v>12</v>
      </c>
      <c r="I10">
        <f>NORMDIST(H10,$B$4,$B$5,FALSE)</f>
        <v/>
      </c>
      <c r="K10" t="n">
        <v>48</v>
      </c>
      <c r="L10" t="n">
        <v>0</v>
      </c>
    </row>
    <row r="11">
      <c r="A11" s="2" t="inlineStr">
        <is>
          <t>1) ÍNDICES DE CAPACIDAD</t>
        </is>
      </c>
      <c r="H11" t="n">
        <v>13</v>
      </c>
      <c r="I11">
        <f>NORMDIST(H11,$B$4,$B$5,FALSE)</f>
        <v/>
      </c>
      <c r="K11" t="n">
        <v>48</v>
      </c>
      <c r="L11">
        <f>$N$1</f>
        <v/>
      </c>
    </row>
    <row r="12">
      <c r="A12" s="5" t="inlineStr">
        <is>
          <t>Índice</t>
        </is>
      </c>
      <c r="B12" s="5" t="inlineStr">
        <is>
          <t>Fórmula</t>
        </is>
      </c>
      <c r="C12" s="5" t="inlineStr">
        <is>
          <t>Sustitución</t>
        </is>
      </c>
      <c r="D12" s="5" t="inlineStr">
        <is>
          <t>Resultado</t>
        </is>
      </c>
      <c r="E12" s="5" t="inlineStr">
        <is>
          <t>Criterio (≥1.33 capaz)</t>
        </is>
      </c>
      <c r="H12" t="n">
        <v>14</v>
      </c>
      <c r="I12">
        <f>NORMDIST(H12,$B$4,$B$5,FALSE)</f>
        <v/>
      </c>
    </row>
    <row r="13">
      <c r="A13" s="6" t="inlineStr">
        <is>
          <t>Cp</t>
        </is>
      </c>
      <c r="B13" s="7" t="inlineStr">
        <is>
          <t>(USL−LSL)/(6σ)</t>
        </is>
      </c>
      <c r="C13" s="7" t="inlineStr">
        <is>
          <t>(48−12)/(6·6.2)</t>
        </is>
      </c>
      <c r="D13" s="8">
        <f>(B9-B8)/(6*B5)</f>
        <v/>
      </c>
      <c r="E13" s="4">
        <f>IF(D13&gt;=1.33,"capaz",IF(D13&gt;=1,"parcial","NO capaz"))</f>
        <v/>
      </c>
      <c r="H13" t="n">
        <v>15</v>
      </c>
      <c r="I13">
        <f>NORMDIST(H13,$B$4,$B$5,FALSE)</f>
        <v/>
      </c>
    </row>
    <row r="14">
      <c r="A14" s="6" t="inlineStr">
        <is>
          <t>Cpi (Cpl)</t>
        </is>
      </c>
      <c r="B14" s="7" t="inlineStr">
        <is>
          <t>(μ−LSL)/(3σ)</t>
        </is>
      </c>
      <c r="C14" s="7" t="inlineStr">
        <is>
          <t>(26.5−12)/(3·6.2)</t>
        </is>
      </c>
      <c r="D14" s="8">
        <f>(B4-B8)/(3*B5)</f>
        <v/>
      </c>
      <c r="E14" s="4">
        <f>IF(D14&gt;=1.25,"ok","bajo")</f>
        <v/>
      </c>
      <c r="H14" t="n">
        <v>16</v>
      </c>
      <c r="I14">
        <f>NORMDIST(H14,$B$4,$B$5,FALSE)</f>
        <v/>
      </c>
    </row>
    <row r="15">
      <c r="A15" s="6" t="inlineStr">
        <is>
          <t>Cps (Cpu)</t>
        </is>
      </c>
      <c r="B15" s="7" t="inlineStr">
        <is>
          <t>(USL−μ)/(3σ)</t>
        </is>
      </c>
      <c r="C15" s="7" t="inlineStr">
        <is>
          <t>(48−26.5)/(3·6.2)</t>
        </is>
      </c>
      <c r="D15" s="8">
        <f>(B9-B4)/(3*B5)</f>
        <v/>
      </c>
      <c r="E15" s="4">
        <f>IF(D15&gt;=1.25,"ok","bajo")</f>
        <v/>
      </c>
      <c r="H15" t="n">
        <v>17</v>
      </c>
      <c r="I15">
        <f>NORMDIST(H15,$B$4,$B$5,FALSE)</f>
        <v/>
      </c>
    </row>
    <row r="16">
      <c r="A16" s="6" t="inlineStr">
        <is>
          <t>Cpk</t>
        </is>
      </c>
      <c r="B16" s="7" t="inlineStr">
        <is>
          <t>mín(Cpl, Cpu)</t>
        </is>
      </c>
      <c r="C16" s="7" t="inlineStr">
        <is>
          <t>mín(0.78, 1.16)</t>
        </is>
      </c>
      <c r="D16" s="8">
        <f>MIN(D14,D15)</f>
        <v/>
      </c>
      <c r="E16" s="4">
        <f>IF(D16&gt;=1.25,"centrado","descentrado/incapaz")</f>
        <v/>
      </c>
      <c r="H16" t="n">
        <v>18</v>
      </c>
      <c r="I16">
        <f>NORMDIST(H16,$B$4,$B$5,FALSE)</f>
        <v/>
      </c>
    </row>
    <row r="17">
      <c r="H17" t="n">
        <v>19</v>
      </c>
      <c r="I17">
        <f>NORMDIST(H17,$B$4,$B$5,FALSE)</f>
        <v/>
      </c>
    </row>
    <row r="18">
      <c r="A18" s="2" t="inlineStr">
        <is>
          <t>2) ÍNDICE DE TAGUCHI (Cpm) respecto al target T = 24 h</t>
        </is>
      </c>
      <c r="H18" t="n">
        <v>20</v>
      </c>
      <c r="I18">
        <f>NORMDIST(H18,$B$4,$B$5,FALSE)</f>
        <v/>
      </c>
    </row>
    <row r="19">
      <c r="A19" s="5" t="inlineStr">
        <is>
          <t>Índice</t>
        </is>
      </c>
      <c r="B19" s="5" t="inlineStr">
        <is>
          <t>Fórmula</t>
        </is>
      </c>
      <c r="C19" s="5" t="inlineStr">
        <is>
          <t>Sustitución</t>
        </is>
      </c>
      <c r="D19" s="5" t="inlineStr">
        <is>
          <t>Resultado</t>
        </is>
      </c>
      <c r="E19" s="5" t="inlineStr"/>
      <c r="H19" t="n">
        <v>21</v>
      </c>
      <c r="I19">
        <f>NORMDIST(H19,$B$4,$B$5,FALSE)</f>
        <v/>
      </c>
    </row>
    <row r="20">
      <c r="A20" s="6" t="inlineStr">
        <is>
          <t>τ (tau)</t>
        </is>
      </c>
      <c r="B20" s="7" t="inlineStr">
        <is>
          <t>√(σ²+(μ−T)²)</t>
        </is>
      </c>
      <c r="C20" s="7" t="inlineStr">
        <is>
          <t>√(6.2²+(26.5−24)²)</t>
        </is>
      </c>
      <c r="D20" s="8">
        <f>SQRT(B5^2+(B4-B7)^2)</f>
        <v/>
      </c>
      <c r="E20" s="4" t="inlineStr"/>
      <c r="H20" t="n">
        <v>22</v>
      </c>
      <c r="I20">
        <f>NORMDIST(H20,$B$4,$B$5,FALSE)</f>
        <v/>
      </c>
    </row>
    <row r="21">
      <c r="A21" s="6" t="inlineStr">
        <is>
          <t>Cpm</t>
        </is>
      </c>
      <c r="B21" s="7" t="inlineStr">
        <is>
          <t>(USL−LSL)/(6τ)</t>
        </is>
      </c>
      <c r="C21" s="7" t="inlineStr">
        <is>
          <t>(48−12)/(6·6.685)</t>
        </is>
      </c>
      <c r="D21" s="8">
        <f>(B9-B8)/(6*D20)</f>
        <v/>
      </c>
      <c r="E21" s="4">
        <f>IF(D21&gt;=1,"cumple target","NO cumple target")</f>
        <v/>
      </c>
      <c r="H21" t="n">
        <v>23</v>
      </c>
      <c r="I21">
        <f>NORMDIST(H21,$B$4,$B$5,FALSE)</f>
        <v/>
      </c>
    </row>
    <row r="22">
      <c r="H22" t="n">
        <v>24</v>
      </c>
      <c r="I22">
        <f>NORMDIST(H22,$B$4,$B$5,FALSE)</f>
        <v/>
      </c>
    </row>
    <row r="23">
      <c r="H23" t="n">
        <v>25</v>
      </c>
      <c r="I23">
        <f>NORMDIST(H23,$B$4,$B$5,FALSE)</f>
        <v/>
      </c>
    </row>
    <row r="24">
      <c r="A24" s="2" t="inlineStr">
        <is>
          <t>ANÁLISIS COMPLEMENTARIO (distribución normal)</t>
        </is>
      </c>
      <c r="H24" t="n">
        <v>26</v>
      </c>
      <c r="I24">
        <f>NORMDIST(H24,$B$4,$B$5,FALSE)</f>
        <v/>
      </c>
    </row>
    <row r="25">
      <c r="A25" s="6" t="inlineStr">
        <is>
          <t>% por debajo de LSL = 12 h (alerta de fraude)</t>
        </is>
      </c>
      <c r="B25" s="9">
        <f>NORMDIST(B8,B4,B5,TRUE)</f>
        <v/>
      </c>
      <c r="H25" t="n">
        <v>27</v>
      </c>
      <c r="I25">
        <f>NORMDIST(H25,$B$4,$B$5,FALSE)</f>
        <v/>
      </c>
    </row>
    <row r="26">
      <c r="A26" s="6" t="inlineStr">
        <is>
          <t>% por encima de USL = 48 h</t>
        </is>
      </c>
      <c r="B26" s="9">
        <f>1-NORMDIST(B9,B4,B5,TRUE)</f>
        <v/>
      </c>
      <c r="H26" t="n">
        <v>28</v>
      </c>
      <c r="I26">
        <f>NORMDIST(H26,$B$4,$B$5,FALSE)</f>
        <v/>
      </c>
    </row>
    <row r="27">
      <c r="A27" s="6" t="inlineStr">
        <is>
          <t>% que EXCEDE el Target = 24 h</t>
        </is>
      </c>
      <c r="B27" s="9">
        <f>1-NORMDIST(B7,B4,B5,TRUE)</f>
        <v/>
      </c>
      <c r="H27" t="n">
        <v>29</v>
      </c>
      <c r="I27">
        <f>NORMDIST(H27,$B$4,$B$5,FALSE)</f>
        <v/>
      </c>
    </row>
    <row r="28">
      <c r="A28" s="6" t="inlineStr">
        <is>
          <t>Centro de especificaciones (LSL+USL)/2</t>
        </is>
      </c>
      <c r="B28" s="10">
        <f>(B8+B9)/2</f>
        <v/>
      </c>
      <c r="H28" t="n">
        <v>30</v>
      </c>
      <c r="I28">
        <f>NORMDIST(H28,$B$4,$B$5,FALSE)</f>
        <v/>
      </c>
    </row>
    <row r="29">
      <c r="H29" t="n">
        <v>31</v>
      </c>
      <c r="I29">
        <f>NORMDIST(H29,$B$4,$B$5,FALSE)</f>
        <v/>
      </c>
    </row>
    <row r="30">
      <c r="A30" s="11" t="inlineStr">
        <is>
          <t>Nota: μ y σ provienen del Análisis de capacidad de Minitab. Ruta: Estadísticas &gt; Herramientas de calidad &gt; Análisis de capacidad &gt; Normal (LSL = 12, USL = 48, objetivo = 24).</t>
        </is>
      </c>
      <c r="H30" t="n">
        <v>32</v>
      </c>
      <c r="I30">
        <f>NORMDIST(H30,$B$4,$B$5,FALSE)</f>
        <v/>
      </c>
    </row>
    <row r="31">
      <c r="H31" t="n">
        <v>33</v>
      </c>
      <c r="I31">
        <f>NORMDIST(H31,$B$4,$B$5,FALSE)</f>
        <v/>
      </c>
    </row>
    <row r="32">
      <c r="H32" t="n">
        <v>34</v>
      </c>
      <c r="I32">
        <f>NORMDIST(H32,$B$4,$B$5,FALSE)</f>
        <v/>
      </c>
    </row>
    <row r="33">
      <c r="H33" t="n">
        <v>35</v>
      </c>
      <c r="I33">
        <f>NORMDIST(H33,$B$4,$B$5,FALSE)</f>
        <v/>
      </c>
    </row>
    <row r="34">
      <c r="H34" t="n">
        <v>36</v>
      </c>
      <c r="I34">
        <f>NORMDIST(H34,$B$4,$B$5,FALSE)</f>
        <v/>
      </c>
    </row>
    <row r="35">
      <c r="H35" t="n">
        <v>37</v>
      </c>
      <c r="I35">
        <f>NORMDIST(H35,$B$4,$B$5,FALSE)</f>
        <v/>
      </c>
    </row>
    <row r="36">
      <c r="H36" t="n">
        <v>38</v>
      </c>
      <c r="I36">
        <f>NORMDIST(H36,$B$4,$B$5,FALSE)</f>
        <v/>
      </c>
    </row>
    <row r="37">
      <c r="H37" t="n">
        <v>39</v>
      </c>
      <c r="I37">
        <f>NORMDIST(H37,$B$4,$B$5,FALSE)</f>
        <v/>
      </c>
    </row>
    <row r="38">
      <c r="H38" t="n">
        <v>40</v>
      </c>
      <c r="I38">
        <f>NORMDIST(H38,$B$4,$B$5,FALSE)</f>
        <v/>
      </c>
    </row>
    <row r="39">
      <c r="H39" t="n">
        <v>41</v>
      </c>
      <c r="I39">
        <f>NORMDIST(H39,$B$4,$B$5,FALSE)</f>
        <v/>
      </c>
    </row>
    <row r="40">
      <c r="H40" t="n">
        <v>42</v>
      </c>
      <c r="I40">
        <f>NORMDIST(H40,$B$4,$B$5,FALSE)</f>
        <v/>
      </c>
    </row>
    <row r="41">
      <c r="H41" t="n">
        <v>43</v>
      </c>
      <c r="I41">
        <f>NORMDIST(H41,$B$4,$B$5,FALSE)</f>
        <v/>
      </c>
    </row>
    <row r="42">
      <c r="H42" t="n">
        <v>44</v>
      </c>
      <c r="I42">
        <f>NORMDIST(H42,$B$4,$B$5,FALSE)</f>
        <v/>
      </c>
    </row>
    <row r="43">
      <c r="H43" t="n">
        <v>45</v>
      </c>
      <c r="I43">
        <f>NORMDIST(H43,$B$4,$B$5,FALSE)</f>
        <v/>
      </c>
    </row>
    <row r="44">
      <c r="H44" t="n">
        <v>46</v>
      </c>
      <c r="I44">
        <f>NORMDIST(H44,$B$4,$B$5,FALSE)</f>
        <v/>
      </c>
    </row>
    <row r="45">
      <c r="H45" t="n">
        <v>47</v>
      </c>
      <c r="I45">
        <f>NORMDIST(H45,$B$4,$B$5,FALSE)</f>
        <v/>
      </c>
    </row>
    <row r="46">
      <c r="H46" t="n">
        <v>48</v>
      </c>
      <c r="I46">
        <f>NORMDIST(H46,$B$4,$B$5,FALSE)</f>
        <v/>
      </c>
    </row>
    <row r="47">
      <c r="H47" t="n">
        <v>49</v>
      </c>
      <c r="I47">
        <f>NORMDIST(H47,$B$4,$B$5,FALSE)</f>
        <v/>
      </c>
    </row>
    <row r="48">
      <c r="H48" t="n">
        <v>50</v>
      </c>
      <c r="I48">
        <f>NORMDIST(H48,$B$4,$B$5,FALSE)</f>
        <v/>
      </c>
    </row>
    <row r="49">
      <c r="H49" t="n">
        <v>51</v>
      </c>
      <c r="I49">
        <f>NORMDIST(H49,$B$4,$B$5,FALSE)</f>
        <v/>
      </c>
    </row>
    <row r="50">
      <c r="H50" t="n">
        <v>52</v>
      </c>
      <c r="I50">
        <f>NORMDIST(H50,$B$4,$B$5,FALSE)</f>
        <v/>
      </c>
    </row>
    <row r="51">
      <c r="H51" t="n">
        <v>53</v>
      </c>
      <c r="I51">
        <f>NORMDIST(H51,$B$4,$B$5,FALSE)</f>
        <v/>
      </c>
    </row>
    <row r="52">
      <c r="H52" t="n">
        <v>54</v>
      </c>
      <c r="I52">
        <f>NORMDIST(H52,$B$4,$B$5,FALSE)</f>
        <v/>
      </c>
    </row>
  </sheetData>
  <mergeCells count="6">
    <mergeCell ref="A24:E24"/>
    <mergeCell ref="A11:E11"/>
    <mergeCell ref="A1:E1"/>
    <mergeCell ref="A30:E31"/>
    <mergeCell ref="A18:E18"/>
    <mergeCell ref="A3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2026-07-04T13:50:49Z</dcterms:created>
  <dcterms:modified xmlns:dcterms="http://purl.org/dc/terms/" xmlns:xsi="http://www.w3.org/2001/XMLSchema-instance" xsi:type="dcterms:W3CDTF">2026-07-04T13:50:49Z</dcterms:modified>
</cp:coreProperties>
</file>