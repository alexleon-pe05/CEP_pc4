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ta X-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7">
    <font>
      <name val="Calibri"/>
      <family val="2"/>
      <color theme="1"/>
      <sz val="11"/>
      <scheme val="minor"/>
    </font>
    <font>
      <b val="1"/>
      <color rgb="001F4E79"/>
      <sz val="13"/>
    </font>
    <font>
      <b val="1"/>
      <color rgb="00FFFFFF"/>
    </font>
    <font>
      <b val="1"/>
    </font>
    <font>
      <b val="1"/>
      <color rgb="001F4E79"/>
    </font>
    <font>
      <b val="1"/>
      <color rgb="00C00000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2" fontId="0" fillId="0" borderId="0" pivotButton="0" quotePrefix="0" xfId="0"/>
    <xf numFmtId="0" fontId="0" fillId="3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 vertical="center"/>
    </xf>
    <xf numFmtId="0" fontId="4" fillId="0" borderId="0" pivotButton="0" quotePrefix="0" xfId="0"/>
    <xf numFmtId="0" fontId="3" fillId="0" borderId="0" pivotButton="0" quotePrefix="0" xfId="0"/>
    <xf numFmtId="164" fontId="0" fillId="0" borderId="0" applyAlignment="1" pivotButton="0" quotePrefix="0" xfId="0">
      <alignment horizontal="center" vertical="center"/>
    </xf>
    <xf numFmtId="164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Carta X̄ — Tiempo promedio (ms)</a:t>
            </a:r>
          </a:p>
        </rich>
      </tx>
    </title>
    <plotArea>
      <lineChart>
        <grouping val="standard"/>
        <ser>
          <idx val="0"/>
          <order val="0"/>
          <tx>
            <strRef>
              <f>'Carta X-R'!K3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'Carta X-R'!$J$4:$J$18</f>
            </numRef>
          </cat>
          <val>
            <numRef>
              <f>'Carta X-R'!$K$4:$K$18</f>
            </numRef>
          </val>
          <smooth val="0"/>
        </ser>
        <ser>
          <idx val="1"/>
          <order val="1"/>
          <tx>
            <strRef>
              <f>'Carta X-R'!L3</f>
            </strRef>
          </tx>
          <spPr>
            <a:ln xmlns:a="http://schemas.openxmlformats.org/drawingml/2006/main">
              <a:solidFill>
                <a:srgbClr val="C00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'Carta X-R'!$J$4:$J$18</f>
            </numRef>
          </cat>
          <val>
            <numRef>
              <f>'Carta X-R'!$L$4:$L$18</f>
            </numRef>
          </val>
          <smooth val="0"/>
        </ser>
        <ser>
          <idx val="2"/>
          <order val="2"/>
          <tx>
            <strRef>
              <f>'Carta X-R'!M3</f>
            </strRef>
          </tx>
          <spPr>
            <a:ln xmlns:a="http://schemas.openxmlformats.org/drawingml/2006/main">
              <a:solidFill>
                <a:srgbClr val="70AD4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'Carta X-R'!$J$4:$J$18</f>
            </numRef>
          </cat>
          <val>
            <numRef>
              <f>'Carta X-R'!$M$4:$M$18</f>
            </numRef>
          </val>
          <smooth val="0"/>
        </ser>
        <ser>
          <idx val="3"/>
          <order val="3"/>
          <tx>
            <strRef>
              <f>'Carta X-R'!N3</f>
            </strRef>
          </tx>
          <spPr>
            <a:ln xmlns:a="http://schemas.openxmlformats.org/drawingml/2006/main">
              <a:solidFill>
                <a:srgbClr val="C00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'Carta X-R'!$J$4:$J$18</f>
            </numRef>
          </cat>
          <val>
            <numRef>
              <f>'Carta X-R'!$N$4:$N$18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Subgrupo (hora)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Promedio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Carta R — Rango (ms)</a:t>
            </a:r>
          </a:p>
        </rich>
      </tx>
    </title>
    <plotArea>
      <lineChart>
        <grouping val="standard"/>
        <ser>
          <idx val="0"/>
          <order val="0"/>
          <tx>
            <strRef>
              <f>'Carta X-R'!Q3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'Carta X-R'!$P$4:$P$18</f>
            </numRef>
          </cat>
          <val>
            <numRef>
              <f>'Carta X-R'!$Q$4:$Q$18</f>
            </numRef>
          </val>
          <smooth val="0"/>
        </ser>
        <ser>
          <idx val="1"/>
          <order val="1"/>
          <tx>
            <strRef>
              <f>'Carta X-R'!R3</f>
            </strRef>
          </tx>
          <spPr>
            <a:ln xmlns:a="http://schemas.openxmlformats.org/drawingml/2006/main">
              <a:solidFill>
                <a:srgbClr val="C00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'Carta X-R'!$P$4:$P$18</f>
            </numRef>
          </cat>
          <val>
            <numRef>
              <f>'Carta X-R'!$R$4:$R$18</f>
            </numRef>
          </val>
          <smooth val="0"/>
        </ser>
        <ser>
          <idx val="2"/>
          <order val="2"/>
          <tx>
            <strRef>
              <f>'Carta X-R'!S3</f>
            </strRef>
          </tx>
          <spPr>
            <a:ln xmlns:a="http://schemas.openxmlformats.org/drawingml/2006/main">
              <a:solidFill>
                <a:srgbClr val="70AD4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'Carta X-R'!$P$4:$P$18</f>
            </numRef>
          </cat>
          <val>
            <numRef>
              <f>'Carta X-R'!$S$4:$S$18</f>
            </numRef>
          </val>
          <smooth val="0"/>
        </ser>
        <ser>
          <idx val="3"/>
          <order val="3"/>
          <tx>
            <strRef>
              <f>'Carta X-R'!T3</f>
            </strRef>
          </tx>
          <spPr>
            <a:ln xmlns:a="http://schemas.openxmlformats.org/drawingml/2006/main">
              <a:solidFill>
                <a:srgbClr val="C00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'Carta X-R'!$P$4:$P$18</f>
            </numRef>
          </cat>
          <val>
            <numRef>
              <f>'Carta X-R'!$T$4:$T$18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Subgrupo (hora)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Rango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21</col>
      <colOff>0</colOff>
      <row>2</row>
      <rowOff>0</rowOff>
    </from>
    <ext cx="61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21</col>
      <colOff>0</colOff>
      <row>19</row>
      <rowOff>0</rowOff>
    </from>
    <ext cx="61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0" customWidth="1" min="7" max="7"/>
    <col width="9" customWidth="1" min="8" max="8"/>
  </cols>
  <sheetData>
    <row r="1">
      <c r="A1" s="1" t="inlineStr">
        <is>
          <t>PROBLEMA 1 — Carta de control X̄-R (n = 5)  ·  Tiempo de procesamiento de pagos (ms) — JP Morgan</t>
        </is>
      </c>
    </row>
    <row r="3">
      <c r="A3" s="2" t="inlineStr">
        <is>
          <t>Subgrupo</t>
        </is>
      </c>
      <c r="B3" s="2" t="inlineStr">
        <is>
          <t>X1</t>
        </is>
      </c>
      <c r="C3" s="2" t="inlineStr">
        <is>
          <t>X2</t>
        </is>
      </c>
      <c r="D3" s="2" t="inlineStr">
        <is>
          <t>X3</t>
        </is>
      </c>
      <c r="E3" s="2" t="inlineStr">
        <is>
          <t>X4</t>
        </is>
      </c>
      <c r="F3" s="2" t="inlineStr">
        <is>
          <t>X5</t>
        </is>
      </c>
      <c r="G3" s="2" t="inlineStr">
        <is>
          <t>Promedio</t>
        </is>
      </c>
      <c r="H3" s="2" t="inlineStr">
        <is>
          <t>Rango</t>
        </is>
      </c>
      <c r="J3" s="3" t="inlineStr">
        <is>
          <t>N°</t>
        </is>
      </c>
      <c r="K3" s="3" t="inlineStr">
        <is>
          <t>Media</t>
        </is>
      </c>
      <c r="L3" s="3" t="inlineStr">
        <is>
          <t>LCI</t>
        </is>
      </c>
      <c r="M3" s="3" t="inlineStr">
        <is>
          <t>LC</t>
        </is>
      </c>
      <c r="N3" s="3" t="inlineStr">
        <is>
          <t>LCS</t>
        </is>
      </c>
      <c r="P3" s="3" t="inlineStr">
        <is>
          <t>N°</t>
        </is>
      </c>
      <c r="Q3" s="3" t="inlineStr">
        <is>
          <t>Rango</t>
        </is>
      </c>
      <c r="R3" s="3" t="inlineStr">
        <is>
          <t>LCI</t>
        </is>
      </c>
      <c r="S3" s="3" t="inlineStr">
        <is>
          <t>LC</t>
        </is>
      </c>
      <c r="T3" s="3" t="inlineStr">
        <is>
          <t>LCS</t>
        </is>
      </c>
    </row>
    <row r="4">
      <c r="A4" s="4" t="n">
        <v>1</v>
      </c>
      <c r="B4" s="4" t="n">
        <v>118</v>
      </c>
      <c r="C4" s="4" t="n">
        <v>121</v>
      </c>
      <c r="D4" s="4" t="n">
        <v>119</v>
      </c>
      <c r="E4" s="4" t="n">
        <v>120</v>
      </c>
      <c r="F4" s="4" t="n">
        <v>122</v>
      </c>
      <c r="G4" s="5">
        <f>AVERAGE(B4:F4)</f>
        <v/>
      </c>
      <c r="H4" s="5">
        <f>MAX(B4:F4)-MIN(B4:F4)</f>
        <v/>
      </c>
      <c r="J4" s="6" t="n">
        <v>1</v>
      </c>
      <c r="K4" s="7">
        <f>G4</f>
        <v/>
      </c>
      <c r="L4" s="7">
        <f>$B$27</f>
        <v/>
      </c>
      <c r="M4" s="7">
        <f>$B$26</f>
        <v/>
      </c>
      <c r="N4" s="7">
        <f>$B$25</f>
        <v/>
      </c>
      <c r="P4" s="6" t="n">
        <v>1</v>
      </c>
      <c r="Q4" s="7">
        <f>H4</f>
        <v/>
      </c>
      <c r="R4" s="7">
        <f>$B$31</f>
        <v/>
      </c>
      <c r="S4" s="7">
        <f>$B$30</f>
        <v/>
      </c>
      <c r="T4" s="7">
        <f>$B$29</f>
        <v/>
      </c>
    </row>
    <row r="5">
      <c r="A5" s="4" t="n">
        <v>2</v>
      </c>
      <c r="B5" s="4" t="n">
        <v>120</v>
      </c>
      <c r="C5" s="4" t="n">
        <v>119</v>
      </c>
      <c r="D5" s="4" t="n">
        <v>121</v>
      </c>
      <c r="E5" s="4" t="n">
        <v>118</v>
      </c>
      <c r="F5" s="4" t="n">
        <v>120</v>
      </c>
      <c r="G5" s="5">
        <f>AVERAGE(B5:F5)</f>
        <v/>
      </c>
      <c r="H5" s="5">
        <f>MAX(B5:F5)-MIN(B5:F5)</f>
        <v/>
      </c>
      <c r="J5" s="6" t="n">
        <v>2</v>
      </c>
      <c r="K5" s="7">
        <f>G5</f>
        <v/>
      </c>
      <c r="L5" s="7">
        <f>$B$27</f>
        <v/>
      </c>
      <c r="M5" s="7">
        <f>$B$26</f>
        <v/>
      </c>
      <c r="N5" s="7">
        <f>$B$25</f>
        <v/>
      </c>
      <c r="P5" s="6" t="n">
        <v>2</v>
      </c>
      <c r="Q5" s="7">
        <f>H5</f>
        <v/>
      </c>
      <c r="R5" s="7">
        <f>$B$31</f>
        <v/>
      </c>
      <c r="S5" s="7">
        <f>$B$30</f>
        <v/>
      </c>
      <c r="T5" s="7">
        <f>$B$29</f>
        <v/>
      </c>
    </row>
    <row r="6">
      <c r="A6" s="4" t="n">
        <v>3</v>
      </c>
      <c r="B6" s="4" t="n">
        <v>119</v>
      </c>
      <c r="C6" s="4" t="n">
        <v>122</v>
      </c>
      <c r="D6" s="4" t="n">
        <v>120</v>
      </c>
      <c r="E6" s="4" t="n">
        <v>121</v>
      </c>
      <c r="F6" s="4" t="n">
        <v>118</v>
      </c>
      <c r="G6" s="5">
        <f>AVERAGE(B6:F6)</f>
        <v/>
      </c>
      <c r="H6" s="5">
        <f>MAX(B6:F6)-MIN(B6:F6)</f>
        <v/>
      </c>
      <c r="J6" s="6" t="n">
        <v>3</v>
      </c>
      <c r="K6" s="7">
        <f>G6</f>
        <v/>
      </c>
      <c r="L6" s="7">
        <f>$B$27</f>
        <v/>
      </c>
      <c r="M6" s="7">
        <f>$B$26</f>
        <v/>
      </c>
      <c r="N6" s="7">
        <f>$B$25</f>
        <v/>
      </c>
      <c r="P6" s="6" t="n">
        <v>3</v>
      </c>
      <c r="Q6" s="7">
        <f>H6</f>
        <v/>
      </c>
      <c r="R6" s="7">
        <f>$B$31</f>
        <v/>
      </c>
      <c r="S6" s="7">
        <f>$B$30</f>
        <v/>
      </c>
      <c r="T6" s="7">
        <f>$B$29</f>
        <v/>
      </c>
    </row>
    <row r="7">
      <c r="A7" s="4" t="n">
        <v>4</v>
      </c>
      <c r="B7" s="4" t="n">
        <v>121</v>
      </c>
      <c r="C7" s="4" t="n">
        <v>120</v>
      </c>
      <c r="D7" s="4" t="n">
        <v>119</v>
      </c>
      <c r="E7" s="4" t="n">
        <v>122</v>
      </c>
      <c r="F7" s="4" t="n">
        <v>120</v>
      </c>
      <c r="G7" s="5">
        <f>AVERAGE(B7:F7)</f>
        <v/>
      </c>
      <c r="H7" s="5">
        <f>MAX(B7:F7)-MIN(B7:F7)</f>
        <v/>
      </c>
      <c r="J7" s="6" t="n">
        <v>4</v>
      </c>
      <c r="K7" s="7">
        <f>G7</f>
        <v/>
      </c>
      <c r="L7" s="7">
        <f>$B$27</f>
        <v/>
      </c>
      <c r="M7" s="7">
        <f>$B$26</f>
        <v/>
      </c>
      <c r="N7" s="7">
        <f>$B$25</f>
        <v/>
      </c>
      <c r="P7" s="6" t="n">
        <v>4</v>
      </c>
      <c r="Q7" s="7">
        <f>H7</f>
        <v/>
      </c>
      <c r="R7" s="7">
        <f>$B$31</f>
        <v/>
      </c>
      <c r="S7" s="7">
        <f>$B$30</f>
        <v/>
      </c>
      <c r="T7" s="7">
        <f>$B$29</f>
        <v/>
      </c>
    </row>
    <row r="8">
      <c r="A8" s="4" t="n">
        <v>5</v>
      </c>
      <c r="B8" s="4" t="n">
        <v>120</v>
      </c>
      <c r="C8" s="4" t="n">
        <v>118</v>
      </c>
      <c r="D8" s="4" t="n">
        <v>121</v>
      </c>
      <c r="E8" s="4" t="n">
        <v>119</v>
      </c>
      <c r="F8" s="4" t="n">
        <v>122</v>
      </c>
      <c r="G8" s="5">
        <f>AVERAGE(B8:F8)</f>
        <v/>
      </c>
      <c r="H8" s="5">
        <f>MAX(B8:F8)-MIN(B8:F8)</f>
        <v/>
      </c>
      <c r="J8" s="6" t="n">
        <v>5</v>
      </c>
      <c r="K8" s="7">
        <f>G8</f>
        <v/>
      </c>
      <c r="L8" s="7">
        <f>$B$27</f>
        <v/>
      </c>
      <c r="M8" s="7">
        <f>$B$26</f>
        <v/>
      </c>
      <c r="N8" s="7">
        <f>$B$25</f>
        <v/>
      </c>
      <c r="P8" s="6" t="n">
        <v>5</v>
      </c>
      <c r="Q8" s="7">
        <f>H8</f>
        <v/>
      </c>
      <c r="R8" s="7">
        <f>$B$31</f>
        <v/>
      </c>
      <c r="S8" s="7">
        <f>$B$30</f>
        <v/>
      </c>
      <c r="T8" s="7">
        <f>$B$29</f>
        <v/>
      </c>
    </row>
    <row r="9">
      <c r="A9" s="4" t="n">
        <v>6</v>
      </c>
      <c r="B9" s="4" t="n">
        <v>122</v>
      </c>
      <c r="C9" s="4" t="n">
        <v>121</v>
      </c>
      <c r="D9" s="4" t="n">
        <v>123</v>
      </c>
      <c r="E9" s="4" t="n">
        <v>120</v>
      </c>
      <c r="F9" s="4" t="n">
        <v>122</v>
      </c>
      <c r="G9" s="5">
        <f>AVERAGE(B9:F9)</f>
        <v/>
      </c>
      <c r="H9" s="5">
        <f>MAX(B9:F9)-MIN(B9:F9)</f>
        <v/>
      </c>
      <c r="J9" s="6" t="n">
        <v>6</v>
      </c>
      <c r="K9" s="7">
        <f>G9</f>
        <v/>
      </c>
      <c r="L9" s="7">
        <f>$B$27</f>
        <v/>
      </c>
      <c r="M9" s="7">
        <f>$B$26</f>
        <v/>
      </c>
      <c r="N9" s="7">
        <f>$B$25</f>
        <v/>
      </c>
      <c r="P9" s="6" t="n">
        <v>6</v>
      </c>
      <c r="Q9" s="7">
        <f>H9</f>
        <v/>
      </c>
      <c r="R9" s="7">
        <f>$B$31</f>
        <v/>
      </c>
      <c r="S9" s="7">
        <f>$B$30</f>
        <v/>
      </c>
      <c r="T9" s="7">
        <f>$B$29</f>
        <v/>
      </c>
    </row>
    <row r="10">
      <c r="A10" s="4" t="n">
        <v>7</v>
      </c>
      <c r="B10" s="4" t="n">
        <v>119</v>
      </c>
      <c r="C10" s="4" t="n">
        <v>120</v>
      </c>
      <c r="D10" s="4" t="n">
        <v>118</v>
      </c>
      <c r="E10" s="4" t="n">
        <v>121</v>
      </c>
      <c r="F10" s="4" t="n">
        <v>119</v>
      </c>
      <c r="G10" s="5">
        <f>AVERAGE(B10:F10)</f>
        <v/>
      </c>
      <c r="H10" s="5">
        <f>MAX(B10:F10)-MIN(B10:F10)</f>
        <v/>
      </c>
      <c r="J10" s="6" t="n">
        <v>7</v>
      </c>
      <c r="K10" s="7">
        <f>G10</f>
        <v/>
      </c>
      <c r="L10" s="7">
        <f>$B$27</f>
        <v/>
      </c>
      <c r="M10" s="7">
        <f>$B$26</f>
        <v/>
      </c>
      <c r="N10" s="7">
        <f>$B$25</f>
        <v/>
      </c>
      <c r="P10" s="6" t="n">
        <v>7</v>
      </c>
      <c r="Q10" s="7">
        <f>H10</f>
        <v/>
      </c>
      <c r="R10" s="7">
        <f>$B$31</f>
        <v/>
      </c>
      <c r="S10" s="7">
        <f>$B$30</f>
        <v/>
      </c>
      <c r="T10" s="7">
        <f>$B$29</f>
        <v/>
      </c>
    </row>
    <row r="11">
      <c r="A11" s="8" t="n">
        <v>8</v>
      </c>
      <c r="B11" s="8" t="n">
        <v>135</v>
      </c>
      <c r="C11" s="8" t="n">
        <v>140</v>
      </c>
      <c r="D11" s="8" t="n">
        <v>138</v>
      </c>
      <c r="E11" s="8" t="n">
        <v>142</v>
      </c>
      <c r="F11" s="8" t="n">
        <v>136</v>
      </c>
      <c r="G11" s="9">
        <f>AVERAGE(B11:F11)</f>
        <v/>
      </c>
      <c r="H11" s="9">
        <f>MAX(B11:F11)-MIN(B11:F11)</f>
        <v/>
      </c>
      <c r="J11" s="6" t="n">
        <v>8</v>
      </c>
      <c r="K11" s="7">
        <f>G11</f>
        <v/>
      </c>
      <c r="L11" s="7">
        <f>$B$27</f>
        <v/>
      </c>
      <c r="M11" s="7">
        <f>$B$26</f>
        <v/>
      </c>
      <c r="N11" s="7">
        <f>$B$25</f>
        <v/>
      </c>
      <c r="P11" s="6" t="n">
        <v>8</v>
      </c>
      <c r="Q11" s="7">
        <f>H11</f>
        <v/>
      </c>
      <c r="R11" s="7">
        <f>$B$31</f>
        <v/>
      </c>
      <c r="S11" s="7">
        <f>$B$30</f>
        <v/>
      </c>
      <c r="T11" s="7">
        <f>$B$29</f>
        <v/>
      </c>
    </row>
    <row r="12">
      <c r="A12" s="4" t="n">
        <v>9</v>
      </c>
      <c r="B12" s="4" t="n">
        <v>121</v>
      </c>
      <c r="C12" s="4" t="n">
        <v>119</v>
      </c>
      <c r="D12" s="4" t="n">
        <v>122</v>
      </c>
      <c r="E12" s="4" t="n">
        <v>120</v>
      </c>
      <c r="F12" s="4" t="n">
        <v>121</v>
      </c>
      <c r="G12" s="5">
        <f>AVERAGE(B12:F12)</f>
        <v/>
      </c>
      <c r="H12" s="5">
        <f>MAX(B12:F12)-MIN(B12:F12)</f>
        <v/>
      </c>
      <c r="J12" s="6" t="n">
        <v>9</v>
      </c>
      <c r="K12" s="7">
        <f>G12</f>
        <v/>
      </c>
      <c r="L12" s="7">
        <f>$B$27</f>
        <v/>
      </c>
      <c r="M12" s="7">
        <f>$B$26</f>
        <v/>
      </c>
      <c r="N12" s="7">
        <f>$B$25</f>
        <v/>
      </c>
      <c r="P12" s="6" t="n">
        <v>9</v>
      </c>
      <c r="Q12" s="7">
        <f>H12</f>
        <v/>
      </c>
      <c r="R12" s="7">
        <f>$B$31</f>
        <v/>
      </c>
      <c r="S12" s="7">
        <f>$B$30</f>
        <v/>
      </c>
      <c r="T12" s="7">
        <f>$B$29</f>
        <v/>
      </c>
    </row>
    <row r="13">
      <c r="A13" s="4" t="n">
        <v>10</v>
      </c>
      <c r="B13" s="4" t="n">
        <v>120</v>
      </c>
      <c r="C13" s="4" t="n">
        <v>121</v>
      </c>
      <c r="D13" s="4" t="n">
        <v>119</v>
      </c>
      <c r="E13" s="4" t="n">
        <v>122</v>
      </c>
      <c r="F13" s="4" t="n">
        <v>120</v>
      </c>
      <c r="G13" s="5">
        <f>AVERAGE(B13:F13)</f>
        <v/>
      </c>
      <c r="H13" s="5">
        <f>MAX(B13:F13)-MIN(B13:F13)</f>
        <v/>
      </c>
      <c r="J13" s="6" t="n">
        <v>10</v>
      </c>
      <c r="K13" s="7">
        <f>G13</f>
        <v/>
      </c>
      <c r="L13" s="7">
        <f>$B$27</f>
        <v/>
      </c>
      <c r="M13" s="7">
        <f>$B$26</f>
        <v/>
      </c>
      <c r="N13" s="7">
        <f>$B$25</f>
        <v/>
      </c>
      <c r="P13" s="6" t="n">
        <v>10</v>
      </c>
      <c r="Q13" s="7">
        <f>H13</f>
        <v/>
      </c>
      <c r="R13" s="7">
        <f>$B$31</f>
        <v/>
      </c>
      <c r="S13" s="7">
        <f>$B$30</f>
        <v/>
      </c>
      <c r="T13" s="7">
        <f>$B$29</f>
        <v/>
      </c>
    </row>
    <row r="14">
      <c r="A14" s="4" t="n">
        <v>11</v>
      </c>
      <c r="B14" s="4" t="n">
        <v>118</v>
      </c>
      <c r="C14" s="4" t="n">
        <v>120</v>
      </c>
      <c r="D14" s="4" t="n">
        <v>119</v>
      </c>
      <c r="E14" s="4" t="n">
        <v>121</v>
      </c>
      <c r="F14" s="4" t="n">
        <v>120</v>
      </c>
      <c r="G14" s="5">
        <f>AVERAGE(B14:F14)</f>
        <v/>
      </c>
      <c r="H14" s="5">
        <f>MAX(B14:F14)-MIN(B14:F14)</f>
        <v/>
      </c>
      <c r="J14" s="6" t="n">
        <v>11</v>
      </c>
      <c r="K14" s="7">
        <f>G14</f>
        <v/>
      </c>
      <c r="L14" s="7">
        <f>$B$27</f>
        <v/>
      </c>
      <c r="M14" s="7">
        <f>$B$26</f>
        <v/>
      </c>
      <c r="N14" s="7">
        <f>$B$25</f>
        <v/>
      </c>
      <c r="P14" s="6" t="n">
        <v>11</v>
      </c>
      <c r="Q14" s="7">
        <f>H14</f>
        <v/>
      </c>
      <c r="R14" s="7">
        <f>$B$31</f>
        <v/>
      </c>
      <c r="S14" s="7">
        <f>$B$30</f>
        <v/>
      </c>
      <c r="T14" s="7">
        <f>$B$29</f>
        <v/>
      </c>
    </row>
    <row r="15">
      <c r="A15" s="4" t="n">
        <v>12</v>
      </c>
      <c r="B15" s="4" t="n">
        <v>122</v>
      </c>
      <c r="C15" s="4" t="n">
        <v>120</v>
      </c>
      <c r="D15" s="4" t="n">
        <v>121</v>
      </c>
      <c r="E15" s="4" t="n">
        <v>119</v>
      </c>
      <c r="F15" s="4" t="n">
        <v>122</v>
      </c>
      <c r="G15" s="5">
        <f>AVERAGE(B15:F15)</f>
        <v/>
      </c>
      <c r="H15" s="5">
        <f>MAX(B15:F15)-MIN(B15:F15)</f>
        <v/>
      </c>
      <c r="J15" s="6" t="n">
        <v>12</v>
      </c>
      <c r="K15" s="7">
        <f>G15</f>
        <v/>
      </c>
      <c r="L15" s="7">
        <f>$B$27</f>
        <v/>
      </c>
      <c r="M15" s="7">
        <f>$B$26</f>
        <v/>
      </c>
      <c r="N15" s="7">
        <f>$B$25</f>
        <v/>
      </c>
      <c r="P15" s="6" t="n">
        <v>12</v>
      </c>
      <c r="Q15" s="7">
        <f>H15</f>
        <v/>
      </c>
      <c r="R15" s="7">
        <f>$B$31</f>
        <v/>
      </c>
      <c r="S15" s="7">
        <f>$B$30</f>
        <v/>
      </c>
      <c r="T15" s="7">
        <f>$B$29</f>
        <v/>
      </c>
    </row>
    <row r="16">
      <c r="A16" s="4" t="n">
        <v>13</v>
      </c>
      <c r="B16" s="4" t="n">
        <v>119</v>
      </c>
      <c r="C16" s="4" t="n">
        <v>121</v>
      </c>
      <c r="D16" s="4" t="n">
        <v>120</v>
      </c>
      <c r="E16" s="4" t="n">
        <v>118</v>
      </c>
      <c r="F16" s="4" t="n">
        <v>121</v>
      </c>
      <c r="G16" s="5">
        <f>AVERAGE(B16:F16)</f>
        <v/>
      </c>
      <c r="H16" s="5">
        <f>MAX(B16:F16)-MIN(B16:F16)</f>
        <v/>
      </c>
      <c r="J16" s="6" t="n">
        <v>13</v>
      </c>
      <c r="K16" s="7">
        <f>G16</f>
        <v/>
      </c>
      <c r="L16" s="7">
        <f>$B$27</f>
        <v/>
      </c>
      <c r="M16" s="7">
        <f>$B$26</f>
        <v/>
      </c>
      <c r="N16" s="7">
        <f>$B$25</f>
        <v/>
      </c>
      <c r="P16" s="6" t="n">
        <v>13</v>
      </c>
      <c r="Q16" s="7">
        <f>H16</f>
        <v/>
      </c>
      <c r="R16" s="7">
        <f>$B$31</f>
        <v/>
      </c>
      <c r="S16" s="7">
        <f>$B$30</f>
        <v/>
      </c>
      <c r="T16" s="7">
        <f>$B$29</f>
        <v/>
      </c>
    </row>
    <row r="17">
      <c r="A17" s="4" t="n">
        <v>14</v>
      </c>
      <c r="B17" s="4" t="n">
        <v>120</v>
      </c>
      <c r="C17" s="4" t="n">
        <v>122</v>
      </c>
      <c r="D17" s="4" t="n">
        <v>121</v>
      </c>
      <c r="E17" s="4" t="n">
        <v>119</v>
      </c>
      <c r="F17" s="4" t="n">
        <v>120</v>
      </c>
      <c r="G17" s="5">
        <f>AVERAGE(B17:F17)</f>
        <v/>
      </c>
      <c r="H17" s="5">
        <f>MAX(B17:F17)-MIN(B17:F17)</f>
        <v/>
      </c>
      <c r="J17" s="6" t="n">
        <v>14</v>
      </c>
      <c r="K17" s="7">
        <f>G17</f>
        <v/>
      </c>
      <c r="L17" s="7">
        <f>$B$27</f>
        <v/>
      </c>
      <c r="M17" s="7">
        <f>$B$26</f>
        <v/>
      </c>
      <c r="N17" s="7">
        <f>$B$25</f>
        <v/>
      </c>
      <c r="P17" s="6" t="n">
        <v>14</v>
      </c>
      <c r="Q17" s="7">
        <f>H17</f>
        <v/>
      </c>
      <c r="R17" s="7">
        <f>$B$31</f>
        <v/>
      </c>
      <c r="S17" s="7">
        <f>$B$30</f>
        <v/>
      </c>
      <c r="T17" s="7">
        <f>$B$29</f>
        <v/>
      </c>
    </row>
    <row r="18">
      <c r="A18" s="4" t="n">
        <v>15</v>
      </c>
      <c r="B18" s="4" t="n">
        <v>121</v>
      </c>
      <c r="C18" s="4" t="n">
        <v>120</v>
      </c>
      <c r="D18" s="4" t="n">
        <v>122</v>
      </c>
      <c r="E18" s="4" t="n">
        <v>120</v>
      </c>
      <c r="F18" s="4" t="n">
        <v>119</v>
      </c>
      <c r="G18" s="5">
        <f>AVERAGE(B18:F18)</f>
        <v/>
      </c>
      <c r="H18" s="5">
        <f>MAX(B18:F18)-MIN(B18:F18)</f>
        <v/>
      </c>
      <c r="J18" s="6" t="n">
        <v>15</v>
      </c>
      <c r="K18" s="7">
        <f>G18</f>
        <v/>
      </c>
      <c r="L18" s="7">
        <f>$B$27</f>
        <v/>
      </c>
      <c r="M18" s="7">
        <f>$B$26</f>
        <v/>
      </c>
      <c r="N18" s="7">
        <f>$B$25</f>
        <v/>
      </c>
      <c r="P18" s="6" t="n">
        <v>15</v>
      </c>
      <c r="Q18" s="7">
        <f>H18</f>
        <v/>
      </c>
      <c r="R18" s="7">
        <f>$B$31</f>
        <v/>
      </c>
      <c r="S18" s="7">
        <f>$B$30</f>
        <v/>
      </c>
      <c r="T18" s="7">
        <f>$B$29</f>
        <v/>
      </c>
    </row>
    <row r="19">
      <c r="D19" s="10" t="inlineStr">
        <is>
          <t>CONSTANTES (n = 5)</t>
        </is>
      </c>
    </row>
    <row r="20">
      <c r="A20" s="11" t="inlineStr">
        <is>
          <t>MEDIA GENERAL (x̄̄) =</t>
        </is>
      </c>
      <c r="B20" s="7">
        <f>AVERAGE(G4:G18)</f>
        <v/>
      </c>
      <c r="D20" s="11" t="inlineStr">
        <is>
          <t>A₂</t>
        </is>
      </c>
      <c r="E20" s="12" t="n">
        <v>0.577</v>
      </c>
    </row>
    <row r="21">
      <c r="A21" s="11" t="inlineStr">
        <is>
          <t>RANGO MEDIO (R̄) =</t>
        </is>
      </c>
      <c r="B21" s="7">
        <f>AVERAGE(H4:H18)</f>
        <v/>
      </c>
      <c r="D21" s="11" t="inlineStr">
        <is>
          <t>D₃</t>
        </is>
      </c>
      <c r="E21" s="12" t="n">
        <v>0</v>
      </c>
    </row>
    <row r="22">
      <c r="A22" s="11" t="inlineStr">
        <is>
          <t>σ estimada (R̄/d₂) =</t>
        </is>
      </c>
      <c r="B22" s="13">
        <f>B21/E24</f>
        <v/>
      </c>
      <c r="D22" s="11" t="inlineStr">
        <is>
          <t>D₄</t>
        </is>
      </c>
      <c r="E22" s="12" t="n">
        <v>2.114</v>
      </c>
    </row>
    <row r="23">
      <c r="D23" s="11" t="inlineStr">
        <is>
          <t>d₂</t>
        </is>
      </c>
      <c r="E23" s="12" t="n">
        <v>2.326</v>
      </c>
    </row>
    <row r="24">
      <c r="A24" s="10" t="inlineStr">
        <is>
          <t>LÍMITES — CARTA X̄ (promedios)</t>
        </is>
      </c>
    </row>
    <row r="25">
      <c r="A25" s="11" t="inlineStr">
        <is>
          <t>LCS</t>
        </is>
      </c>
      <c r="B25" s="7">
        <f>B20+E21*B21</f>
        <v/>
      </c>
    </row>
    <row r="26">
      <c r="A26" s="11" t="inlineStr">
        <is>
          <t>LC</t>
        </is>
      </c>
      <c r="B26" s="7">
        <f>B20</f>
        <v/>
      </c>
    </row>
    <row r="27">
      <c r="A27" s="11" t="inlineStr">
        <is>
          <t>LCI</t>
        </is>
      </c>
      <c r="B27" s="7">
        <f>B20-E21*B21</f>
        <v/>
      </c>
    </row>
    <row r="28">
      <c r="A28" s="10" t="inlineStr">
        <is>
          <t>LÍMITES — CARTA R (rangos)</t>
        </is>
      </c>
    </row>
    <row r="29">
      <c r="A29" s="11" t="inlineStr">
        <is>
          <t>LCS</t>
        </is>
      </c>
      <c r="B29" s="7">
        <f>E23*B21</f>
        <v/>
      </c>
    </row>
    <row r="30">
      <c r="A30" s="11" t="inlineStr">
        <is>
          <t>LC</t>
        </is>
      </c>
      <c r="B30" s="7">
        <f>B21</f>
        <v/>
      </c>
    </row>
    <row r="31">
      <c r="A31" s="11" t="inlineStr">
        <is>
          <t>LCI</t>
        </is>
      </c>
      <c r="B31" s="7">
        <f>E22*B21</f>
        <v/>
      </c>
    </row>
    <row r="34">
      <c r="A34" s="14" t="inlineStr">
        <is>
          <t>RECÁLCULO EXCLUYENDO EL SUBGRUPO 8 (causa asignable) — 14 subgrupos</t>
        </is>
      </c>
    </row>
    <row r="35">
      <c r="A35" s="11" t="inlineStr">
        <is>
          <t>MEDIA GENERAL' =</t>
        </is>
      </c>
      <c r="B35" s="7">
        <f>(SUM(G4:G18)-G11)/14</f>
        <v/>
      </c>
    </row>
    <row r="36">
      <c r="A36" s="11" t="inlineStr">
        <is>
          <t>RANGO MEDIO' =</t>
        </is>
      </c>
      <c r="B36" s="7">
        <f>(SUM(H4:H18)-H11)/14</f>
        <v/>
      </c>
    </row>
    <row r="37">
      <c r="A37" s="10" t="inlineStr">
        <is>
          <t>CARTA X̄ (recalc.)</t>
        </is>
      </c>
    </row>
    <row r="38">
      <c r="A38" s="11" t="inlineStr">
        <is>
          <t>LCS</t>
        </is>
      </c>
      <c r="B38" s="7">
        <f>B35+E21*B36</f>
        <v/>
      </c>
    </row>
    <row r="39">
      <c r="A39" s="11" t="inlineStr">
        <is>
          <t>LC</t>
        </is>
      </c>
      <c r="B39" s="7">
        <f>B35</f>
        <v/>
      </c>
    </row>
    <row r="40">
      <c r="A40" s="11" t="inlineStr">
        <is>
          <t>LCI</t>
        </is>
      </c>
      <c r="B40" s="7">
        <f>B35-E21*B36</f>
        <v/>
      </c>
    </row>
    <row r="41">
      <c r="A41" s="10" t="inlineStr">
        <is>
          <t>CARTA R (recalc.)</t>
        </is>
      </c>
    </row>
    <row r="42">
      <c r="A42" s="11" t="inlineStr">
        <is>
          <t>LCS</t>
        </is>
      </c>
      <c r="B42" s="7">
        <f>E23*B36</f>
        <v/>
      </c>
    </row>
    <row r="43">
      <c r="A43" s="11" t="inlineStr">
        <is>
          <t>LC</t>
        </is>
      </c>
      <c r="B43" s="7">
        <f>B36</f>
        <v/>
      </c>
    </row>
    <row r="44">
      <c r="A44" s="11" t="inlineStr">
        <is>
          <t>LCI</t>
        </is>
      </c>
      <c r="B44" s="7">
        <f>E22*B36</f>
        <v/>
      </c>
    </row>
    <row r="46">
      <c r="A46" s="10" t="inlineStr">
        <is>
          <t>TABLA PARA MINITAB (pegar en C1..C5, una fila por subgrupo)</t>
        </is>
      </c>
    </row>
    <row r="47">
      <c r="A47" s="15" t="inlineStr">
        <is>
          <t>Ruta: Estadísticas &gt; Gráficas de control &gt; Gráficas de variables para subgrupos &gt; Xbarra-R</t>
        </is>
      </c>
    </row>
    <row r="48">
      <c r="A48" s="3" t="inlineStr">
        <is>
          <t>X1</t>
        </is>
      </c>
      <c r="B48" s="3" t="inlineStr">
        <is>
          <t>X2</t>
        </is>
      </c>
      <c r="C48" s="3" t="inlineStr">
        <is>
          <t>X3</t>
        </is>
      </c>
      <c r="D48" s="3" t="inlineStr">
        <is>
          <t>X4</t>
        </is>
      </c>
      <c r="E48" s="3" t="inlineStr">
        <is>
          <t>X5</t>
        </is>
      </c>
    </row>
    <row r="49">
      <c r="A49" s="4" t="n">
        <v>118</v>
      </c>
      <c r="B49" s="4" t="n">
        <v>121</v>
      </c>
      <c r="C49" s="4" t="n">
        <v>119</v>
      </c>
      <c r="D49" s="4" t="n">
        <v>120</v>
      </c>
      <c r="E49" s="4" t="n">
        <v>122</v>
      </c>
    </row>
    <row r="50">
      <c r="A50" s="4" t="n">
        <v>120</v>
      </c>
      <c r="B50" s="4" t="n">
        <v>119</v>
      </c>
      <c r="C50" s="4" t="n">
        <v>121</v>
      </c>
      <c r="D50" s="4" t="n">
        <v>118</v>
      </c>
      <c r="E50" s="4" t="n">
        <v>120</v>
      </c>
    </row>
    <row r="51">
      <c r="A51" s="4" t="n">
        <v>119</v>
      </c>
      <c r="B51" s="4" t="n">
        <v>122</v>
      </c>
      <c r="C51" s="4" t="n">
        <v>120</v>
      </c>
      <c r="D51" s="4" t="n">
        <v>121</v>
      </c>
      <c r="E51" s="4" t="n">
        <v>118</v>
      </c>
    </row>
    <row r="52">
      <c r="A52" s="4" t="n">
        <v>121</v>
      </c>
      <c r="B52" s="4" t="n">
        <v>120</v>
      </c>
      <c r="C52" s="4" t="n">
        <v>119</v>
      </c>
      <c r="D52" s="4" t="n">
        <v>122</v>
      </c>
      <c r="E52" s="4" t="n">
        <v>120</v>
      </c>
    </row>
    <row r="53">
      <c r="A53" s="4" t="n">
        <v>120</v>
      </c>
      <c r="B53" s="4" t="n">
        <v>118</v>
      </c>
      <c r="C53" s="4" t="n">
        <v>121</v>
      </c>
      <c r="D53" s="4" t="n">
        <v>119</v>
      </c>
      <c r="E53" s="4" t="n">
        <v>122</v>
      </c>
    </row>
    <row r="54">
      <c r="A54" s="4" t="n">
        <v>122</v>
      </c>
      <c r="B54" s="4" t="n">
        <v>121</v>
      </c>
      <c r="C54" s="4" t="n">
        <v>123</v>
      </c>
      <c r="D54" s="4" t="n">
        <v>120</v>
      </c>
      <c r="E54" s="4" t="n">
        <v>122</v>
      </c>
    </row>
    <row r="55">
      <c r="A55" s="4" t="n">
        <v>119</v>
      </c>
      <c r="B55" s="4" t="n">
        <v>120</v>
      </c>
      <c r="C55" s="4" t="n">
        <v>118</v>
      </c>
      <c r="D55" s="4" t="n">
        <v>121</v>
      </c>
      <c r="E55" s="4" t="n">
        <v>119</v>
      </c>
    </row>
    <row r="56">
      <c r="A56" s="4" t="n">
        <v>135</v>
      </c>
      <c r="B56" s="4" t="n">
        <v>140</v>
      </c>
      <c r="C56" s="4" t="n">
        <v>138</v>
      </c>
      <c r="D56" s="4" t="n">
        <v>142</v>
      </c>
      <c r="E56" s="4" t="n">
        <v>136</v>
      </c>
    </row>
    <row r="57">
      <c r="A57" s="4" t="n">
        <v>121</v>
      </c>
      <c r="B57" s="4" t="n">
        <v>119</v>
      </c>
      <c r="C57" s="4" t="n">
        <v>122</v>
      </c>
      <c r="D57" s="4" t="n">
        <v>120</v>
      </c>
      <c r="E57" s="4" t="n">
        <v>121</v>
      </c>
    </row>
    <row r="58">
      <c r="A58" s="4" t="n">
        <v>120</v>
      </c>
      <c r="B58" s="4" t="n">
        <v>121</v>
      </c>
      <c r="C58" s="4" t="n">
        <v>119</v>
      </c>
      <c r="D58" s="4" t="n">
        <v>122</v>
      </c>
      <c r="E58" s="4" t="n">
        <v>120</v>
      </c>
    </row>
    <row r="59">
      <c r="A59" s="4" t="n">
        <v>118</v>
      </c>
      <c r="B59" s="4" t="n">
        <v>120</v>
      </c>
      <c r="C59" s="4" t="n">
        <v>119</v>
      </c>
      <c r="D59" s="4" t="n">
        <v>121</v>
      </c>
      <c r="E59" s="4" t="n">
        <v>120</v>
      </c>
    </row>
    <row r="60">
      <c r="A60" s="4" t="n">
        <v>122</v>
      </c>
      <c r="B60" s="4" t="n">
        <v>120</v>
      </c>
      <c r="C60" s="4" t="n">
        <v>121</v>
      </c>
      <c r="D60" s="4" t="n">
        <v>119</v>
      </c>
      <c r="E60" s="4" t="n">
        <v>122</v>
      </c>
    </row>
    <row r="61">
      <c r="A61" s="4" t="n">
        <v>119</v>
      </c>
      <c r="B61" s="4" t="n">
        <v>121</v>
      </c>
      <c r="C61" s="4" t="n">
        <v>120</v>
      </c>
      <c r="D61" s="4" t="n">
        <v>118</v>
      </c>
      <c r="E61" s="4" t="n">
        <v>121</v>
      </c>
    </row>
    <row r="62">
      <c r="A62" s="4" t="n">
        <v>120</v>
      </c>
      <c r="B62" s="4" t="n">
        <v>122</v>
      </c>
      <c r="C62" s="4" t="n">
        <v>121</v>
      </c>
      <c r="D62" s="4" t="n">
        <v>119</v>
      </c>
      <c r="E62" s="4" t="n">
        <v>120</v>
      </c>
    </row>
    <row r="63">
      <c r="A63" s="4" t="n">
        <v>121</v>
      </c>
      <c r="B63" s="4" t="n">
        <v>120</v>
      </c>
      <c r="C63" s="4" t="n">
        <v>122</v>
      </c>
      <c r="D63" s="4" t="n">
        <v>120</v>
      </c>
      <c r="E63" s="4" t="n">
        <v>119</v>
      </c>
    </row>
  </sheetData>
  <mergeCells count="4">
    <mergeCell ref="A34:E34"/>
    <mergeCell ref="A47:H47"/>
    <mergeCell ref="A46:F46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2026-07-04T13:27:19Z</dcterms:created>
  <dcterms:modified xmlns:dcterms="http://purl.org/dc/terms/" xmlns:xsi="http://www.w3.org/2001/XMLSchema-instance" xsi:type="dcterms:W3CDTF">2026-07-04T13:27:19Z</dcterms:modified>
</cp:coreProperties>
</file>