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a 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</font>
    <font>
      <b val="1"/>
    </font>
    <font>
      <b val="1"/>
      <color rgb="001F4E79"/>
    </font>
    <font>
      <i val="1"/>
      <color rgb="00C00000"/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1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Carta p — Fracción de transacciones rechazadas (límites variables)</a:t>
            </a:r>
          </a:p>
        </rich>
      </tx>
    </title>
    <plotArea>
      <lineChart>
        <grouping val="standard"/>
        <ser>
          <idx val="0"/>
          <order val="0"/>
          <tx>
            <strRef>
              <f>'Carta p'!D3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'Carta p'!$A$4:$A$19</f>
            </numRef>
          </cat>
          <val>
            <numRef>
              <f>'Carta p'!$D$4:$D$19</f>
            </numRef>
          </val>
          <smooth val="0"/>
        </ser>
        <ser>
          <idx val="1"/>
          <order val="1"/>
          <tx>
            <strRef>
              <f>'Carta p'!E3</f>
            </strRef>
          </tx>
          <spPr>
            <a:ln xmlns:a="http://schemas.openxmlformats.org/drawingml/2006/main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'Carta p'!$A$4:$A$19</f>
            </numRef>
          </cat>
          <val>
            <numRef>
              <f>'Carta p'!$E$4:$E$19</f>
            </numRef>
          </val>
          <smooth val="0"/>
        </ser>
        <ser>
          <idx val="2"/>
          <order val="2"/>
          <tx>
            <strRef>
              <f>'Carta p'!F3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'Carta p'!$A$4:$A$19</f>
            </numRef>
          </cat>
          <val>
            <numRef>
              <f>'Carta p'!$F$4:$F$19</f>
            </numRef>
          </val>
          <smooth val="0"/>
        </ser>
        <ser>
          <idx val="3"/>
          <order val="3"/>
          <tx>
            <strRef>
              <f>'Carta p'!G3</f>
            </strRef>
          </tx>
          <spPr>
            <a:ln xmlns:a="http://schemas.openxmlformats.org/drawingml/2006/main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'Carta p'!$A$4:$A$19</f>
            </numRef>
          </cat>
          <val>
            <numRef>
              <f>'Carta p'!$G$4:$G$19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Fracción defectuosa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PROBLEMA 2 — Carta p con límites variables  ·  Transacciones rechazadas por error de validación</t>
        </is>
      </c>
    </row>
    <row r="3">
      <c r="A3" s="2" t="inlineStr">
        <is>
          <t>Día</t>
        </is>
      </c>
      <c r="B3" s="2" t="inlineStr">
        <is>
          <t>n (revisadas)</t>
        </is>
      </c>
      <c r="C3" s="2" t="inlineStr">
        <is>
          <t>Fallidas</t>
        </is>
      </c>
      <c r="D3" s="2" t="inlineStr">
        <is>
          <t>p (fracción)</t>
        </is>
      </c>
      <c r="E3" s="2" t="inlineStr">
        <is>
          <t>LCI</t>
        </is>
      </c>
      <c r="F3" s="2" t="inlineStr">
        <is>
          <t>LC</t>
        </is>
      </c>
      <c r="G3" s="2" t="inlineStr">
        <is>
          <t>LCS</t>
        </is>
      </c>
    </row>
    <row r="4">
      <c r="A4" s="3" t="n">
        <v>1</v>
      </c>
      <c r="B4" s="3" t="n">
        <v>900</v>
      </c>
      <c r="C4" s="3" t="n">
        <v>12</v>
      </c>
      <c r="D4" s="4">
        <f>C4/B4</f>
        <v/>
      </c>
      <c r="E4" s="4">
        <f>$B$23-3*SQRT($B$23*(1-$B$23)/B4)</f>
        <v/>
      </c>
      <c r="F4" s="4">
        <f>$B$23</f>
        <v/>
      </c>
      <c r="G4" s="4">
        <f>$B$23+3*SQRT($B$23*(1-$B$23)/B4)</f>
        <v/>
      </c>
    </row>
    <row r="5">
      <c r="A5" s="3" t="n">
        <v>2</v>
      </c>
      <c r="B5" s="3" t="n">
        <v>1050</v>
      </c>
      <c r="C5" s="3" t="n">
        <v>15</v>
      </c>
      <c r="D5" s="4">
        <f>C5/B5</f>
        <v/>
      </c>
      <c r="E5" s="4">
        <f>$B$23-3*SQRT($B$23*(1-$B$23)/B5)</f>
        <v/>
      </c>
      <c r="F5" s="4">
        <f>$B$23</f>
        <v/>
      </c>
      <c r="G5" s="4">
        <f>$B$23+3*SQRT($B$23*(1-$B$23)/B5)</f>
        <v/>
      </c>
    </row>
    <row r="6">
      <c r="A6" s="3" t="n">
        <v>3</v>
      </c>
      <c r="B6" s="3" t="n">
        <v>800</v>
      </c>
      <c r="C6" s="3" t="n">
        <v>9</v>
      </c>
      <c r="D6" s="4">
        <f>C6/B6</f>
        <v/>
      </c>
      <c r="E6" s="4">
        <f>$B$23-3*SQRT($B$23*(1-$B$23)/B6)</f>
        <v/>
      </c>
      <c r="F6" s="4">
        <f>$B$23</f>
        <v/>
      </c>
      <c r="G6" s="4">
        <f>$B$23+3*SQRT($B$23*(1-$B$23)/B6)</f>
        <v/>
      </c>
    </row>
    <row r="7">
      <c r="A7" s="3" t="n">
        <v>4</v>
      </c>
      <c r="B7" s="3" t="n">
        <v>1200</v>
      </c>
      <c r="C7" s="3" t="n">
        <v>20</v>
      </c>
      <c r="D7" s="4">
        <f>C7/B7</f>
        <v/>
      </c>
      <c r="E7" s="4">
        <f>$B$23-3*SQRT($B$23*(1-$B$23)/B7)</f>
        <v/>
      </c>
      <c r="F7" s="4">
        <f>$B$23</f>
        <v/>
      </c>
      <c r="G7" s="4">
        <f>$B$23+3*SQRT($B$23*(1-$B$23)/B7)</f>
        <v/>
      </c>
    </row>
    <row r="8">
      <c r="A8" s="3" t="n">
        <v>5</v>
      </c>
      <c r="B8" s="3" t="n">
        <v>950</v>
      </c>
      <c r="C8" s="3" t="n">
        <v>13</v>
      </c>
      <c r="D8" s="4">
        <f>C8/B8</f>
        <v/>
      </c>
      <c r="E8" s="4">
        <f>$B$23-3*SQRT($B$23*(1-$B$23)/B8)</f>
        <v/>
      </c>
      <c r="F8" s="4">
        <f>$B$23</f>
        <v/>
      </c>
      <c r="G8" s="4">
        <f>$B$23+3*SQRT($B$23*(1-$B$23)/B8)</f>
        <v/>
      </c>
    </row>
    <row r="9">
      <c r="A9" s="3" t="n">
        <v>6</v>
      </c>
      <c r="B9" s="3" t="n">
        <v>1100</v>
      </c>
      <c r="C9" s="3" t="n">
        <v>17</v>
      </c>
      <c r="D9" s="4">
        <f>C9/B9</f>
        <v/>
      </c>
      <c r="E9" s="4">
        <f>$B$23-3*SQRT($B$23*(1-$B$23)/B9)</f>
        <v/>
      </c>
      <c r="F9" s="4">
        <f>$B$23</f>
        <v/>
      </c>
      <c r="G9" s="4">
        <f>$B$23+3*SQRT($B$23*(1-$B$23)/B9)</f>
        <v/>
      </c>
    </row>
    <row r="10">
      <c r="A10" s="3" t="n">
        <v>7</v>
      </c>
      <c r="B10" s="3" t="n">
        <v>850</v>
      </c>
      <c r="C10" s="3" t="n">
        <v>10</v>
      </c>
      <c r="D10" s="4">
        <f>C10/B10</f>
        <v/>
      </c>
      <c r="E10" s="4">
        <f>$B$23-3*SQRT($B$23*(1-$B$23)/B10)</f>
        <v/>
      </c>
      <c r="F10" s="4">
        <f>$B$23</f>
        <v/>
      </c>
      <c r="G10" s="4">
        <f>$B$23+3*SQRT($B$23*(1-$B$23)/B10)</f>
        <v/>
      </c>
    </row>
    <row r="11">
      <c r="A11" s="3" t="n">
        <v>8</v>
      </c>
      <c r="B11" s="3" t="n">
        <v>1000</v>
      </c>
      <c r="C11" s="3" t="n">
        <v>14</v>
      </c>
      <c r="D11" s="4">
        <f>C11/B11</f>
        <v/>
      </c>
      <c r="E11" s="4">
        <f>$B$23-3*SQRT($B$23*(1-$B$23)/B11)</f>
        <v/>
      </c>
      <c r="F11" s="4">
        <f>$B$23</f>
        <v/>
      </c>
      <c r="G11" s="4">
        <f>$B$23+3*SQRT($B$23*(1-$B$23)/B11)</f>
        <v/>
      </c>
    </row>
    <row r="12">
      <c r="A12" s="3" t="n">
        <v>9</v>
      </c>
      <c r="B12" s="3" t="n">
        <v>1150</v>
      </c>
      <c r="C12" s="3" t="n">
        <v>19</v>
      </c>
      <c r="D12" s="4">
        <f>C12/B12</f>
        <v/>
      </c>
      <c r="E12" s="4">
        <f>$B$23-3*SQRT($B$23*(1-$B$23)/B12)</f>
        <v/>
      </c>
      <c r="F12" s="4">
        <f>$B$23</f>
        <v/>
      </c>
      <c r="G12" s="4">
        <f>$B$23+3*SQRT($B$23*(1-$B$23)/B12)</f>
        <v/>
      </c>
    </row>
    <row r="13">
      <c r="A13" s="3" t="n">
        <v>10</v>
      </c>
      <c r="B13" s="3" t="n">
        <v>900</v>
      </c>
      <c r="C13" s="3" t="n">
        <v>11</v>
      </c>
      <c r="D13" s="4">
        <f>C13/B13</f>
        <v/>
      </c>
      <c r="E13" s="4">
        <f>$B$23-3*SQRT($B$23*(1-$B$23)/B13)</f>
        <v/>
      </c>
      <c r="F13" s="4">
        <f>$B$23</f>
        <v/>
      </c>
      <c r="G13" s="4">
        <f>$B$23+3*SQRT($B$23*(1-$B$23)/B13)</f>
        <v/>
      </c>
    </row>
    <row r="14">
      <c r="A14" s="3" t="n">
        <v>11</v>
      </c>
      <c r="B14" s="3" t="n">
        <v>1050</v>
      </c>
      <c r="C14" s="3" t="n">
        <v>16</v>
      </c>
      <c r="D14" s="4">
        <f>C14/B14</f>
        <v/>
      </c>
      <c r="E14" s="4">
        <f>$B$23-3*SQRT($B$23*(1-$B$23)/B14)</f>
        <v/>
      </c>
      <c r="F14" s="4">
        <f>$B$23</f>
        <v/>
      </c>
      <c r="G14" s="4">
        <f>$B$23+3*SQRT($B$23*(1-$B$23)/B14)</f>
        <v/>
      </c>
    </row>
    <row r="15">
      <c r="A15" s="3" t="n">
        <v>12</v>
      </c>
      <c r="B15" s="3" t="n">
        <v>800</v>
      </c>
      <c r="C15" s="3" t="n">
        <v>8</v>
      </c>
      <c r="D15" s="4">
        <f>C15/B15</f>
        <v/>
      </c>
      <c r="E15" s="4">
        <f>$B$23-3*SQRT($B$23*(1-$B$23)/B15)</f>
        <v/>
      </c>
      <c r="F15" s="4">
        <f>$B$23</f>
        <v/>
      </c>
      <c r="G15" s="4">
        <f>$B$23+3*SQRT($B$23*(1-$B$23)/B15)</f>
        <v/>
      </c>
    </row>
    <row r="16">
      <c r="A16" s="3" t="n">
        <v>13</v>
      </c>
      <c r="B16" s="3" t="n">
        <v>1200</v>
      </c>
      <c r="C16" s="3" t="n">
        <v>22</v>
      </c>
      <c r="D16" s="4">
        <f>C16/B16</f>
        <v/>
      </c>
      <c r="E16" s="4">
        <f>$B$23-3*SQRT($B$23*(1-$B$23)/B16)</f>
        <v/>
      </c>
      <c r="F16" s="4">
        <f>$B$23</f>
        <v/>
      </c>
      <c r="G16" s="4">
        <f>$B$23+3*SQRT($B$23*(1-$B$23)/B16)</f>
        <v/>
      </c>
    </row>
    <row r="17">
      <c r="A17" s="3" t="n">
        <v>14</v>
      </c>
      <c r="B17" s="3" t="n">
        <v>950</v>
      </c>
      <c r="C17" s="3" t="n">
        <v>12</v>
      </c>
      <c r="D17" s="4">
        <f>C17/B17</f>
        <v/>
      </c>
      <c r="E17" s="4">
        <f>$B$23-3*SQRT($B$23*(1-$B$23)/B17)</f>
        <v/>
      </c>
      <c r="F17" s="4">
        <f>$B$23</f>
        <v/>
      </c>
      <c r="G17" s="4">
        <f>$B$23+3*SQRT($B$23*(1-$B$23)/B17)</f>
        <v/>
      </c>
    </row>
    <row r="18">
      <c r="A18" s="3" t="n">
        <v>15</v>
      </c>
      <c r="B18" s="3" t="n">
        <v>1100</v>
      </c>
      <c r="C18" s="3" t="n">
        <v>18</v>
      </c>
      <c r="D18" s="4">
        <f>C18/B18</f>
        <v/>
      </c>
      <c r="E18" s="4">
        <f>$B$23-3*SQRT($B$23*(1-$B$23)/B18)</f>
        <v/>
      </c>
      <c r="F18" s="4">
        <f>$B$23</f>
        <v/>
      </c>
      <c r="G18" s="4">
        <f>$B$23+3*SQRT($B$23*(1-$B$23)/B18)</f>
        <v/>
      </c>
    </row>
    <row r="19">
      <c r="A19" s="3" t="n">
        <v>16</v>
      </c>
      <c r="B19" s="3" t="n">
        <v>1000</v>
      </c>
      <c r="C19" s="3" t="n">
        <v>13</v>
      </c>
      <c r="D19" s="4">
        <f>C19/B19</f>
        <v/>
      </c>
      <c r="E19" s="4">
        <f>$B$23-3*SQRT($B$23*(1-$B$23)/B19)</f>
        <v/>
      </c>
      <c r="F19" s="4">
        <f>$B$23</f>
        <v/>
      </c>
      <c r="G19" s="4">
        <f>$B$23+3*SQRT($B$23*(1-$B$23)/B19)</f>
        <v/>
      </c>
    </row>
    <row r="21">
      <c r="A21" s="5" t="inlineStr">
        <is>
          <t>Σ n (total revisadas) =</t>
        </is>
      </c>
      <c r="B21" s="6">
        <f>SUM(B4:B19)</f>
        <v/>
      </c>
    </row>
    <row r="22">
      <c r="A22" s="5" t="inlineStr">
        <is>
          <t>Σ Fallidas =</t>
        </is>
      </c>
      <c r="B22" s="6">
        <f>SUM(C4:C19)</f>
        <v/>
      </c>
    </row>
    <row r="23">
      <c r="A23" s="7" t="inlineStr">
        <is>
          <t>p̄ = Σ Fallidas / Σ n =</t>
        </is>
      </c>
      <c r="B23" s="8">
        <f>B22/B21</f>
        <v/>
      </c>
    </row>
    <row r="24">
      <c r="A24" s="5" t="inlineStr">
        <is>
          <t>n̄ (promedio) =</t>
        </is>
      </c>
      <c r="B24" s="6">
        <f>B21/16</f>
        <v/>
      </c>
    </row>
    <row r="25">
      <c r="A25" s="9" t="inlineStr">
        <is>
          <t>Variación de n → 800..1200 = ±20% &gt; 15% ⇒ límites variables</t>
        </is>
      </c>
    </row>
    <row r="28">
      <c r="A28" s="7" t="inlineStr">
        <is>
          <t>TABLA PARA MINITAB (pegar en 2 columnas)</t>
        </is>
      </c>
    </row>
    <row r="29">
      <c r="A29" s="10" t="inlineStr">
        <is>
          <t>Ruta: Estadísticas &gt; Gráficas de control &gt; Gráficas de atributos &gt; P  (tamaños de subgrupo = columna n)</t>
        </is>
      </c>
    </row>
    <row r="30">
      <c r="A30" s="11" t="inlineStr">
        <is>
          <t>Fallidas</t>
        </is>
      </c>
      <c r="B30" s="11" t="inlineStr">
        <is>
          <t>n</t>
        </is>
      </c>
    </row>
    <row r="31">
      <c r="A31" s="3" t="n">
        <v>12</v>
      </c>
      <c r="B31" s="3" t="n">
        <v>900</v>
      </c>
    </row>
    <row r="32">
      <c r="A32" s="3" t="n">
        <v>15</v>
      </c>
      <c r="B32" s="3" t="n">
        <v>1050</v>
      </c>
    </row>
    <row r="33">
      <c r="A33" s="3" t="n">
        <v>9</v>
      </c>
      <c r="B33" s="3" t="n">
        <v>800</v>
      </c>
    </row>
    <row r="34">
      <c r="A34" s="3" t="n">
        <v>20</v>
      </c>
      <c r="B34" s="3" t="n">
        <v>1200</v>
      </c>
    </row>
    <row r="35">
      <c r="A35" s="3" t="n">
        <v>13</v>
      </c>
      <c r="B35" s="3" t="n">
        <v>950</v>
      </c>
    </row>
    <row r="36">
      <c r="A36" s="3" t="n">
        <v>17</v>
      </c>
      <c r="B36" s="3" t="n">
        <v>1100</v>
      </c>
    </row>
    <row r="37">
      <c r="A37" s="3" t="n">
        <v>10</v>
      </c>
      <c r="B37" s="3" t="n">
        <v>850</v>
      </c>
    </row>
    <row r="38">
      <c r="A38" s="3" t="n">
        <v>14</v>
      </c>
      <c r="B38" s="3" t="n">
        <v>1000</v>
      </c>
    </row>
    <row r="39">
      <c r="A39" s="3" t="n">
        <v>19</v>
      </c>
      <c r="B39" s="3" t="n">
        <v>1150</v>
      </c>
    </row>
    <row r="40">
      <c r="A40" s="3" t="n">
        <v>11</v>
      </c>
      <c r="B40" s="3" t="n">
        <v>900</v>
      </c>
    </row>
    <row r="41">
      <c r="A41" s="3" t="n">
        <v>16</v>
      </c>
      <c r="B41" s="3" t="n">
        <v>1050</v>
      </c>
    </row>
    <row r="42">
      <c r="A42" s="3" t="n">
        <v>8</v>
      </c>
      <c r="B42" s="3" t="n">
        <v>800</v>
      </c>
    </row>
    <row r="43">
      <c r="A43" s="3" t="n">
        <v>22</v>
      </c>
      <c r="B43" s="3" t="n">
        <v>1200</v>
      </c>
    </row>
    <row r="44">
      <c r="A44" s="3" t="n">
        <v>12</v>
      </c>
      <c r="B44" s="3" t="n">
        <v>950</v>
      </c>
    </row>
    <row r="45">
      <c r="A45" s="3" t="n">
        <v>18</v>
      </c>
      <c r="B45" s="3" t="n">
        <v>1100</v>
      </c>
    </row>
    <row r="46">
      <c r="A46" s="3" t="n">
        <v>13</v>
      </c>
      <c r="B46" s="3" t="n">
        <v>1000</v>
      </c>
    </row>
  </sheetData>
  <mergeCells count="4">
    <mergeCell ref="A28:D28"/>
    <mergeCell ref="A29:H29"/>
    <mergeCell ref="A1:G1"/>
    <mergeCell ref="A25:G2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2026-07-04T13:40:08Z</dcterms:created>
  <dcterms:modified xmlns:dcterms="http://purl.org/dc/terms/" xmlns:xsi="http://www.w3.org/2001/XMLSchema-instance" xsi:type="dcterms:W3CDTF">2026-07-04T13:40:08Z</dcterms:modified>
</cp:coreProperties>
</file>